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<sst xmlns="http://schemas.openxmlformats.org/spreadsheetml/2006/main" count="143" uniqueCount="125">
  <si>
    <t>AMAZON.COM CORE E-COMMERCE QA TEST EXECUTION REPORT</t>
  </si>
  <si>
    <t>Project:</t>
  </si>
  <si>
    <t>Amazon.com Core E-Commerce Platform</t>
  </si>
  <si>
    <t>QA Tester:</t>
  </si>
  <si>
    <t>Keerthivasan M</t>
  </si>
  <si>
    <t>Test Suite:</t>
  </si>
  <si>
    <t>Amazon E2E Regression &amp; Sanity Suite</t>
  </si>
  <si>
    <t>Report Version:</t>
  </si>
  <si>
    <t>v2.0 - Final</t>
  </si>
  <si>
    <t>Environment:</t>
  </si>
  <si>
    <t>Amazon Pre-Prod / Staging Multi-Tier</t>
  </si>
  <si>
    <t>Submission Date:</t>
  </si>
  <si>
    <t>Execution Scope:</t>
  </si>
  <si>
    <t>Search, Prime, 1-Click, Sub&amp;Save, Returns</t>
  </si>
  <si>
    <t>Review Status:</t>
  </si>
  <si>
    <t>Pending Sign-off</t>
  </si>
  <si>
    <t>TOTAL TESTS</t>
  </si>
  <si>
    <t>TESTS PASSED</t>
  </si>
  <si>
    <t>TESTS FAILED</t>
  </si>
  <si>
    <t>EXECUTION PASS RATE</t>
  </si>
  <si>
    <t>Target SLA: &gt;= 85.0%</t>
  </si>
  <si>
    <t>Test Case ID</t>
  </si>
  <si>
    <t>Title/Description</t>
  </si>
  <si>
    <t>Module/Test Objective</t>
  </si>
  <si>
    <t>Preconditions</t>
  </si>
  <si>
    <t>Test Steps</t>
  </si>
  <si>
    <t>Input Data</t>
  </si>
  <si>
    <t>Expected Results</t>
  </si>
  <si>
    <t>Actual Results</t>
  </si>
  <si>
    <t>Test Environment</t>
  </si>
  <si>
    <t>Execution Date</t>
  </si>
  <si>
    <t>Status</t>
  </si>
  <si>
    <t>Comments</t>
  </si>
  <si>
    <t>TC-001</t>
  </si>
  <si>
    <t>Search auto-complete and ASIN keyword lookup</t>
  </si>
  <si>
    <t>Search &amp; Discovery</t>
  </si>
  <si>
    <t>User is on Amazon homepage desktop or mobile</t>
  </si>
  <si>
    <t>1. Navigate to amazon.com
2. Type "kindle paperwhite" in search bar
3. Verify search suggestions appear
4. Press Enter or click search icon</t>
  </si>
  <si>
    <t>Keyword: "kindle paperwhite", Department: "All"</t>
  </si>
  <si>
    <t>Auto-suggestions show relevant Kindle products; SERP loads with matching ASIN items and sponsored banner</t>
  </si>
  <si>
    <t>Suggestions loaded instantly; SERP displayed 48 matching results with correct badges</t>
  </si>
  <si>
    <t>Staging</t>
  </si>
  <si>
    <t>Pass</t>
  </si>
  <si>
    <t>Verified auto-complete latency &lt; 120ms</t>
  </si>
  <si>
    <t>TC-002</t>
  </si>
  <si>
    <t>Filter search results by Prime delivery and 4-star+ rating</t>
  </si>
  <si>
    <t>Search results grid displayed with &gt; 100 products</t>
  </si>
  <si>
    <t>1. Check "Prime" filter checkbox in sidebar
2. Select "4 Stars &amp; Up" customer review filter
3. Check "Get It by Tomorrow" option</t>
  </si>
  <si>
    <t>Filters: Prime=True, Rating&gt;=4, FastDelivery=True</t>
  </si>
  <si>
    <t>Grid refreshes via AJAX showing only Prime-eligible items with &gt;=4.0 stars and 1-day delivery</t>
  </si>
  <si>
    <t>Filter applied; grid displayed 26 items meeting all criteria with Prime badges</t>
  </si>
  <si>
    <t>Verified URL query params update dynamically</t>
  </si>
  <si>
    <t>TC-003</t>
  </si>
  <si>
    <t>Product detail page variant selection and dynamic pricing</t>
  </si>
  <si>
    <t>Product Detail Page (PDP)</t>
  </si>
  <si>
    <t>User is on multi-variant PDP (e.g., Echo Dot)</t>
  </si>
  <si>
    <t>1. Navigate to Echo Dot ASIN B09B8V1LZ3
2. Select Color "Glacier White"
3. Select Configuration "With Clock"</t>
  </si>
  <si>
    <t>ASIN: B09B8V1LZ3, Color: Glacier White, Config: With Clock</t>
  </si>
  <si>
    <t>Main product image, stock status ("In Stock"), and price update seamlessly to $59.99</t>
  </si>
  <si>
    <t>Price and image updated correctly; "Deliver to [Zip]" estimated date refreshed</t>
  </si>
  <si>
    <t>Pre-Prod</t>
  </si>
  <si>
    <t>Tested across desktop and mobile responsive viewports</t>
  </si>
  <si>
    <t>TC-004</t>
  </si>
  <si>
    <t>Buy Now / 1-Click checkout flow with saved default payment</t>
  </si>
  <si>
    <t>1-Click Checkout</t>
  </si>
  <si>
    <t>User is logged into active Amazon Prime account with default 1-Click address and card</t>
  </si>
  <si>
    <t>1. Navigate to eligible physical product PDP
2. Click "Buy Now" button
3. Review slide-over order summary
4. Click "Place Your Order"</t>
  </si>
  <si>
    <t>Payment: Default Prime Visa, Address: Primary 1-Click address</t>
  </si>
  <si>
    <t>Order places immediately without standard 3-step cart redirect; confirmation modal shows Order #</t>
  </si>
  <si>
    <t>Order placed successfully; generated Order #114-8921043-9821405</t>
  </si>
  <si>
    <t>Verified email confirmation dispatched within 30s</t>
  </si>
  <si>
    <t>TC-005</t>
  </si>
  <si>
    <t>Add item to Cart and verify Free Prime Delivery threshold</t>
  </si>
  <si>
    <t>Cart &amp; Checkout</t>
  </si>
  <si>
    <t>User logged in as non-Prime customer with $0 cart balance</t>
  </si>
  <si>
    <t>1. Add item priced at $22.50 to cart
2. Open cart flyout / cart page
3. Verify progress bar towards $35 free shipping threshold
4. Update quantity to 2</t>
  </si>
  <si>
    <t>Item: $22.50 (Qty: 1 then 2), Free Shipping Threshold: $35.00</t>
  </si>
  <si>
    <t>Cart displays "Add $12.50 for FREE Shipping"; when qty=2 ($45.00), displays "Your order qualifies for FREE Shipping"</t>
  </si>
  <si>
    <t>Threshold message updated correctly; free standard shipping option unlocked</t>
  </si>
  <si>
    <t>Tested cart item count badge real-time counter</t>
  </si>
  <si>
    <t>TC-006</t>
  </si>
  <si>
    <t>Set up Subscribe &amp; Save recurring order with 15% tier discount</t>
  </si>
  <si>
    <t>Subscriptions &amp; Reorders</t>
  </si>
  <si>
    <t>User has 4 existing active monthly subscriptions</t>
  </si>
  <si>
    <t>1. On eligible consumable PDP, select "Subscribe &amp; Save" radio button
2. Select delivery frequency "Every 1 month"
3. Click "Set Up Now"</t>
  </si>
  <si>
    <t>ASIN: B07FZ8S74R (Coffee Pods), Frequency: 1 month, Tier: 5+ items (15% off)</t>
  </si>
  <si>
    <t>Price reflects 15% bundle discount; subscription is added to 'Deliveries' schedule without immediate charge</t>
  </si>
  <si>
    <t>15% discount applied; delivery scheduled for next monthly replenishment cycle</t>
  </si>
  <si>
    <t>Verified discount tier calculation logic</t>
  </si>
  <si>
    <t>TC-007</t>
  </si>
  <si>
    <t>Customer reviews submission with media upload and star rating</t>
  </si>
  <si>
    <t>Reviews &amp; Community</t>
  </si>
  <si>
    <t>User purchased verified item &gt; 48 hours ago</t>
  </si>
  <si>
    <t>1. Go to 'Your Orders'
2. Click 'Write a product review'
3. Select 5 stars, enter text, upload PNG photo
4. Click 'Submit'</t>
  </si>
  <si>
    <t>Rating: 5 Stars, Headline: "Excellent build", Photo: unboxing.png (1.8MB)</t>
  </si>
  <si>
    <t>Review submits with message "Review submitted - Thank you! It will go live after moderation"</t>
  </si>
  <si>
    <t>Image upload failed with generic error 'Upload service unavailable'</t>
  </si>
  <si>
    <t>Fail</t>
  </si>
  <si>
    <t>Bug reported: AMZ-4011 (Media processing microservice timeout)</t>
  </si>
  <si>
    <t>TC-008</t>
  </si>
  <si>
    <t>Initiate Online Return via Amazon Drop-off without box or label</t>
  </si>
  <si>
    <t>Returns &amp; Replacements</t>
  </si>
  <si>
    <t>Delivered item within 30-day return window</t>
  </si>
  <si>
    <t>1. Go to 'Your Orders' -&gt; click 'Return or replace items'
2. Select reason: 'Performance or quality not adequate'
3. Select refund method: 'Amazon Account Balance'
4. Select drop-off: 'The UPS Store - No Box or Label Needed'</t>
  </si>
  <si>
    <t>Reason code: QUALITY_ISSUE, Dropoff: UPS Store No-Box, Refund: Gift Balance</t>
  </si>
  <si>
    <t>QR return code is generated; instructions display nearest drop-off location and instant refund details</t>
  </si>
  <si>
    <t>Return QR code generated with instructions and barcode scanner verification</t>
  </si>
  <si>
    <t>QR code scanned and validated in warehouse mock tool</t>
  </si>
  <si>
    <t>TC-009</t>
  </si>
  <si>
    <t>Apply promotional coupon code on checkout review page</t>
  </si>
  <si>
    <t>Promotions &amp; Discounts</t>
  </si>
  <si>
    <t>Cart contains coupon-eligible item</t>
  </si>
  <si>
    <t>1. Proceed to checkout Step 3 (Payment)
2. Enter promo code "AMAZON20FALL" in promo code input
3. Click 'Apply'</t>
  </si>
  <si>
    <t>Promo Code: AMAZON20FALL, Discount: $20 off orders &gt; $100</t>
  </si>
  <si>
    <t>Order summary updates: -$20.00 'Promotion Applied' deduction appears before tax; total recomputed</t>
  </si>
  <si>
    <t>Promo code box hangs on spinner; 'Internal server error 500' returned in network tab</t>
  </si>
  <si>
    <t>Bug reported: AMZ-4019 (Promotion validation service exception)</t>
  </si>
  <si>
    <t>TC-010</t>
  </si>
  <si>
    <t>Multi-destination shipping split order across different delivery addresses</t>
  </si>
  <si>
    <t>Cart contains 2 different physical products</t>
  </si>
  <si>
    <t>1. In checkout, select 'Ship to multiple addresses'
2. Assign Item 1 to Address A and Item 2 to Address B
3. Select shipping speeds for both
4. Proceed to payment</t>
  </si>
  <si>
    <t>Item 1: Seattle Address (Standard), Item 2: Austin Address (Two-Day)</t>
  </si>
  <si>
    <t>Checkout calculates independent delivery dates and splits shipment tracking IDs properly</t>
  </si>
  <si>
    <t>Order review page displays combined total with separate shipment cards and correct taxes</t>
  </si>
  <si>
    <t>Verified separate dispatch tracking IDs generated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</si>
</sst>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22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b/>
      <sz val="9.0"/>
      <color rgb="FF465469"/>
      <name val="Roboto"/>
    </font>
    <font>
      <sz val="9.0"/>
      <color theme="1"/>
      <name val="Roboto"/>
    </font>
    <font/>
    <font>
      <b/>
      <sz val="9.0"/>
      <color rgb="FF065F46"/>
      <name val="Roboto"/>
    </font>
    <font>
      <b/>
      <sz val="9.0"/>
      <color rgb="FF991B1B"/>
      <name val="Roboto"/>
    </font>
    <font>
      <b/>
      <sz val="9.0"/>
      <color rgb="FF1E40AE"/>
      <name val="Roboto"/>
    </font>
    <font>
      <b/>
      <sz val="18.0"/>
      <color rgb="FF0F162A"/>
      <name val="Roboto"/>
    </font>
    <font>
      <b/>
      <sz val="18.0"/>
      <color rgb="FF047856"/>
      <name val="Roboto"/>
    </font>
    <font>
      <b/>
      <sz val="18.0"/>
      <color rgb="FFDC2525"/>
      <name val="Roboto"/>
    </font>
    <font>
      <b/>
      <sz val="18.0"/>
      <color rgb="FF1D4ED7"/>
      <name val="Roboto"/>
    </font>
    <font>
      <sz val="8.0"/>
      <color rgb="FF63748A"/>
      <name val="Roboto"/>
    </font>
    <font>
      <sz val="8.0"/>
      <color rgb="FF059569"/>
      <name val="Roboto"/>
    </font>
    <font>
      <sz val="8.0"/>
      <color rgb="FFB81C1C"/>
      <name val="Roboto"/>
    </font>
    <font>
      <sz val="8.0"/>
      <color rgb="FF2462EB"/>
      <name val="Roboto"/>
    </font>
    <font>
      <b/>
      <sz val="11.0"/>
      <color rgb="FFFFFFFF"/>
      <name val="Montserrat"/>
    </font>
    <font>
      <b/>
      <sz val="10.0"/>
      <color rgb="FFFFFFFF"/>
      <name val="Arial"/>
      <scheme val="minor"/>
    </font>
    <font>
      <b/>
      <sz val="9.0"/>
      <color theme="1"/>
      <name val="Roboto"/>
    </font>
    <font>
      <sz val="9.0"/>
      <color rgb="FF1A1B20"/>
      <name val="Roboto"/>
    </font>
    <font>
      <color theme="1"/>
      <name val="Arial"/>
      <scheme val="minor"/>
    </font>
    <font>
      <sz val="10.0"/>
      <color rgb="FF1A1B1F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222E3D"/>
        <bgColor rgb="FF222E3D"/>
      </patternFill>
    </fill>
    <fill>
      <patternFill patternType="solid">
        <fgColor rgb="FFF8F9FB"/>
        <bgColor rgb="FFF8F9FB"/>
      </patternFill>
    </fill>
    <fill>
      <patternFill patternType="solid">
        <fgColor rgb="FFF0F5F8"/>
        <bgColor rgb="FFF0F5F8"/>
      </patternFill>
    </fill>
    <fill>
      <patternFill patternType="solid">
        <fgColor rgb="FFEBFCF5"/>
        <bgColor rgb="FFEBFCF5"/>
      </patternFill>
    </fill>
    <fill>
      <patternFill patternType="solid">
        <fgColor rgb="FFFDF1F1"/>
        <bgColor rgb="FFFDF1F1"/>
      </patternFill>
    </fill>
    <fill>
      <patternFill patternType="solid">
        <fgColor rgb="FFEEF6FF"/>
        <bgColor rgb="FFEEF6FF"/>
      </patternFill>
    </fill>
    <fill>
      <patternFill patternType="solid">
        <fgColor rgb="FF425D90"/>
        <bgColor rgb="FF425D90"/>
      </patternFill>
    </fill>
    <fill>
      <patternFill patternType="solid">
        <fgColor rgb="FFFFFFFF"/>
        <bgColor rgb="FFFFFFFF"/>
      </patternFill>
    </fill>
  </fills>
  <borders count="39">
    <border/>
    <border>
      <left style="thin">
        <color rgb="FFCAD4E0"/>
      </left>
      <top style="thin">
        <color rgb="FFCAD4E0"/>
      </top>
    </border>
    <border>
      <top style="thin">
        <color rgb="FFCAD4E0"/>
      </top>
    </border>
    <border>
      <right style="thin">
        <color rgb="FFCAD4E0"/>
      </right>
      <top style="thin">
        <color rgb="FFCAD4E0"/>
      </top>
    </border>
    <border>
      <left style="thin">
        <color rgb="FFA7F3D0"/>
      </left>
      <top style="thin">
        <color rgb="FFA7F3D0"/>
      </top>
    </border>
    <border>
      <top style="thin">
        <color rgb="FFA7F3D0"/>
      </top>
    </border>
    <border>
      <right style="thin">
        <color rgb="FFA7F3D0"/>
      </right>
      <top style="thin">
        <color rgb="FFA7F3D0"/>
      </top>
    </border>
    <border>
      <left style="thin">
        <color rgb="FFFDC9C9"/>
      </left>
      <top style="thin">
        <color rgb="FFFDC9C9"/>
      </top>
    </border>
    <border>
      <top style="thin">
        <color rgb="FFFDC9C9"/>
      </top>
    </border>
    <border>
      <right style="thin">
        <color rgb="FFFDC9C9"/>
      </right>
      <top style="thin">
        <color rgb="FFFDC9C9"/>
      </top>
    </border>
    <border>
      <left style="thin">
        <color rgb="FFBEDBFD"/>
      </left>
      <top style="thin">
        <color rgb="FFBEDBFD"/>
      </top>
    </border>
    <border>
      <top style="thin">
        <color rgb="FFBEDBFD"/>
      </top>
    </border>
    <border>
      <right style="thin">
        <color rgb="FFBEDBFD"/>
      </right>
      <top style="thin">
        <color rgb="FFBEDBFD"/>
      </top>
    </border>
    <border>
      <left style="thin">
        <color rgb="FFCAD4E0"/>
      </left>
    </border>
    <border>
      <right style="thin">
        <color rgb="FFCAD4E0"/>
      </right>
    </border>
    <border>
      <left style="thin">
        <color rgb="FFA7F3D0"/>
      </left>
    </border>
    <border>
      <right style="thin">
        <color rgb="FFA7F3D0"/>
      </right>
    </border>
    <border>
      <left style="thin">
        <color rgb="FFFDC9C9"/>
      </left>
    </border>
    <border>
      <right style="thin">
        <color rgb="FFFDC9C9"/>
      </right>
    </border>
    <border>
      <left style="thin">
        <color rgb="FFBEDBFD"/>
      </left>
    </border>
    <border>
      <right style="thin">
        <color rgb="FFBEDBFD"/>
      </right>
    </border>
    <border>
      <left style="thin">
        <color rgb="FFCAD4E0"/>
      </left>
      <bottom style="thin">
        <color rgb="FFCAD4E0"/>
      </bottom>
    </border>
    <border>
      <bottom style="thin">
        <color rgb="FFCAD4E0"/>
      </bottom>
    </border>
    <border>
      <right style="thin">
        <color rgb="FFCAD4E0"/>
      </right>
      <bottom style="thin">
        <color rgb="FFCAD4E0"/>
      </bottom>
    </border>
    <border>
      <left style="thin">
        <color rgb="FFA7F3D0"/>
      </left>
      <bottom style="thin">
        <color rgb="FFA7F3D0"/>
      </bottom>
    </border>
    <border>
      <bottom style="thin">
        <color rgb="FFA7F3D0"/>
      </bottom>
    </border>
    <border>
      <right style="thin">
        <color rgb="FFA7F3D0"/>
      </right>
      <bottom style="thin">
        <color rgb="FFA7F3D0"/>
      </bottom>
    </border>
    <border>
      <left style="thin">
        <color rgb="FFFDC9C9"/>
      </left>
      <bottom style="thin">
        <color rgb="FFFDC9C9"/>
      </bottom>
    </border>
    <border>
      <bottom style="thin">
        <color rgb="FFFDC9C9"/>
      </bottom>
    </border>
    <border>
      <right style="thin">
        <color rgb="FFFDC9C9"/>
      </right>
      <bottom style="thin">
        <color rgb="FFFDC9C9"/>
      </bottom>
    </border>
    <border>
      <left style="thin">
        <color rgb="FFBEDBFD"/>
      </left>
      <bottom style="thin">
        <color rgb="FFBEDBFD"/>
      </bottom>
    </border>
    <border>
      <bottom style="thin">
        <color rgb="FFBEDBFD"/>
      </bottom>
    </border>
    <border>
      <right style="thin">
        <color rgb="FFBEDBFD"/>
      </right>
      <bottom style="thin">
        <color rgb="FFBEDBFD"/>
      </bottom>
    </border>
    <border>
      <left style="thin">
        <color rgb="FF73777E"/>
      </left>
      <right style="thin">
        <color rgb="FF73777E"/>
      </right>
      <top style="thin">
        <color rgb="FF73777E"/>
      </top>
    </border>
    <border>
      <left style="thin">
        <color rgb="FFE1E8EF"/>
      </left>
      <right style="thin">
        <color rgb="FFEDEFF4"/>
      </right>
      <top style="thin">
        <color rgb="FFE1E8EF"/>
      </top>
      <bottom style="thin">
        <color rgb="FFE1E8EF"/>
      </bottom>
    </border>
    <border>
      <left style="thin">
        <color rgb="FFEDEFF4"/>
      </left>
      <right style="thin">
        <color rgb="FFEDEFF4"/>
      </right>
      <top style="thin">
        <color rgb="FFE1E8EF"/>
      </top>
      <bottom style="thin">
        <color rgb="FFE1E8EF"/>
      </bottom>
    </border>
    <border>
      <left style="thin">
        <color rgb="FFEDEFF4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73777E"/>
      </left>
      <right style="thin">
        <color rgb="FF73777E"/>
      </right>
      <bottom style="thin">
        <color rgb="FF73777E"/>
      </bottom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right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3" numFmtId="164" xfId="0" applyAlignment="1" applyFill="1" applyFont="1" applyNumberForma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5" fontId="5" numFmtId="0" xfId="0" applyAlignment="1" applyBorder="1" applyFill="1" applyFont="1">
      <alignment horizontal="center" readingOrder="0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6" fontId="6" numFmtId="0" xfId="0" applyAlignment="1" applyBorder="1" applyFill="1" applyFont="1">
      <alignment horizontal="center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10" fillId="7" fontId="7" numFmtId="0" xfId="0" applyAlignment="1" applyBorder="1" applyFill="1" applyFont="1">
      <alignment horizontal="center" readingOrder="0" shrinkToFit="0" vertical="center" wrapText="1"/>
    </xf>
    <xf borderId="11" fillId="0" fontId="4" numFmtId="0" xfId="0" applyBorder="1" applyFont="1"/>
    <xf borderId="12" fillId="0" fontId="4" numFmtId="0" xfId="0" applyBorder="1" applyFont="1"/>
    <xf borderId="13" fillId="4" fontId="8" numFmtId="0" xfId="0" applyAlignment="1" applyBorder="1" applyFill="1" applyFont="1">
      <alignment horizontal="center" readingOrder="0" shrinkToFit="0" vertical="center" wrapText="1"/>
    </xf>
    <xf borderId="14" fillId="0" fontId="4" numFmtId="0" xfId="0" applyBorder="1" applyFont="1"/>
    <xf borderId="15" fillId="5" fontId="9" numFmtId="0" xfId="0" applyAlignment="1" applyBorder="1" applyFill="1" applyFont="1">
      <alignment horizontal="center" readingOrder="0" shrinkToFit="0" vertical="center" wrapText="1"/>
    </xf>
    <xf borderId="16" fillId="0" fontId="4" numFmtId="0" xfId="0" applyBorder="1" applyFont="1"/>
    <xf borderId="17" fillId="6" fontId="10" numFmtId="0" xfId="0" applyAlignment="1" applyBorder="1" applyFill="1" applyFont="1">
      <alignment horizontal="center" readingOrder="0" shrinkToFit="0" vertical="center" wrapText="1"/>
    </xf>
    <xf borderId="18" fillId="0" fontId="4" numFmtId="0" xfId="0" applyBorder="1" applyFont="1"/>
    <xf borderId="19" fillId="7" fontId="11" numFmtId="165" xfId="0" applyAlignment="1" applyBorder="1" applyFill="1" applyFont="1" applyNumberFormat="1">
      <alignment horizontal="center" readingOrder="0" shrinkToFit="0" vertical="center" wrapText="1"/>
    </xf>
    <xf borderId="20" fillId="0" fontId="4" numFmtId="0" xfId="0" applyBorder="1" applyFont="1"/>
    <xf borderId="21" fillId="4" fontId="12" numFmtId="0" xfId="0" applyAlignment="1" applyBorder="1" applyFill="1" applyFont="1">
      <alignment horizontal="center" readingOrder="0" shrinkToFit="0" vertical="center" wrapText="1"/>
    </xf>
    <xf borderId="22" fillId="0" fontId="4" numFmtId="0" xfId="0" applyBorder="1" applyFont="1"/>
    <xf borderId="23" fillId="0" fontId="4" numFmtId="0" xfId="0" applyBorder="1" applyFont="1"/>
    <xf borderId="24" fillId="5" fontId="13" numFmtId="0" xfId="0" applyAlignment="1" applyBorder="1" applyFill="1" applyFont="1">
      <alignment horizontal="center" readingOrder="0" shrinkToFit="0" vertical="center" wrapText="1"/>
    </xf>
    <xf borderId="25" fillId="0" fontId="4" numFmtId="0" xfId="0" applyBorder="1" applyFont="1"/>
    <xf borderId="26" fillId="0" fontId="4" numFmtId="0" xfId="0" applyBorder="1" applyFont="1"/>
    <xf borderId="27" fillId="6" fontId="14" numFmtId="0" xfId="0" applyAlignment="1" applyBorder="1" applyFill="1" applyFont="1">
      <alignment horizontal="center" readingOrder="0" shrinkToFit="0" vertical="center" wrapText="1"/>
    </xf>
    <xf borderId="28" fillId="0" fontId="4" numFmtId="0" xfId="0" applyBorder="1" applyFont="1"/>
    <xf borderId="29" fillId="0" fontId="4" numFmtId="0" xfId="0" applyBorder="1" applyFont="1"/>
    <xf borderId="30" fillId="7" fontId="15" numFmtId="0" xfId="0" applyAlignment="1" applyBorder="1" applyFill="1" applyFont="1">
      <alignment horizontal="center" readingOrder="0" shrinkToFit="0" vertical="center" wrapText="1"/>
    </xf>
    <xf borderId="31" fillId="0" fontId="4" numFmtId="0" xfId="0" applyBorder="1" applyFont="1"/>
    <xf borderId="32" fillId="0" fontId="4" numFmtId="0" xfId="0" applyBorder="1" applyFont="1"/>
    <xf borderId="0" fillId="8" fontId="16" numFmtId="0" xfId="0" applyAlignment="1" applyFill="1" applyFont="1">
      <alignment horizontal="center" readingOrder="0" shrinkToFit="0" vertical="center" wrapText="1"/>
    </xf>
    <xf borderId="33" fillId="2" fontId="17" numFmtId="0" xfId="0" applyAlignment="1" applyBorder="1" applyFill="1" applyFont="1">
      <alignment horizontal="center" readingOrder="0" shrinkToFit="0" vertical="center" wrapText="1"/>
    </xf>
    <xf borderId="34" fillId="9" fontId="18" numFmtId="0" xfId="0" applyAlignment="1" applyBorder="1" applyFill="1" applyFont="1">
      <alignment horizontal="center" readingOrder="0" shrinkToFit="0" vertical="top" wrapText="1"/>
    </xf>
    <xf borderId="35" fillId="9" fontId="19" numFmtId="0" xfId="0" applyAlignment="1" applyBorder="1" applyFill="1" applyFont="1">
      <alignment readingOrder="0" shrinkToFit="0" vertical="top" wrapText="1"/>
    </xf>
    <xf borderId="35" fillId="9" fontId="19" numFmtId="0" xfId="0" applyAlignment="1" applyBorder="1" applyFill="1" applyFont="1">
      <alignment horizontal="center" readingOrder="0" shrinkToFit="0" vertical="center" wrapText="1"/>
    </xf>
    <xf borderId="35" fillId="9" fontId="19" numFmtId="164" xfId="0" applyAlignment="1" applyBorder="1" applyFill="1" applyFont="1" applyNumberFormat="1">
      <alignment horizontal="center" readingOrder="0" shrinkToFit="0" vertical="center" wrapText="1"/>
    </xf>
    <xf borderId="36" fillId="9" fontId="19" numFmtId="0" xfId="0" applyAlignment="1" applyBorder="1" applyFill="1" applyFont="1">
      <alignment readingOrder="0" shrinkToFit="0" vertical="top" wrapText="1"/>
    </xf>
    <xf borderId="34" fillId="3" fontId="18" numFmtId="0" xfId="0" applyAlignment="1" applyBorder="1" applyFill="1" applyFont="1">
      <alignment horizontal="center" readingOrder="0" shrinkToFit="0" vertical="top" wrapText="1"/>
    </xf>
    <xf borderId="35" fillId="3" fontId="19" numFmtId="0" xfId="0" applyAlignment="1" applyBorder="1" applyFill="1" applyFont="1">
      <alignment readingOrder="0" shrinkToFit="0" vertical="top" wrapText="1"/>
    </xf>
    <xf borderId="35" fillId="3" fontId="19" numFmtId="0" xfId="0" applyAlignment="1" applyBorder="1" applyFill="1" applyFont="1">
      <alignment horizontal="center" readingOrder="0" shrinkToFit="0" vertical="center" wrapText="1"/>
    </xf>
    <xf borderId="35" fillId="3" fontId="19" numFmtId="164" xfId="0" applyAlignment="1" applyBorder="1" applyFill="1" applyFont="1" applyNumberFormat="1">
      <alignment horizontal="center" readingOrder="0" shrinkToFit="0" vertical="center" wrapText="1"/>
    </xf>
    <xf borderId="36" fillId="3" fontId="19" numFmtId="0" xfId="0" applyAlignment="1" applyBorder="1" applyFill="1" applyFont="1">
      <alignment readingOrder="0" shrinkToFit="0" vertical="top" wrapText="1"/>
    </xf>
    <xf borderId="0" fillId="0" fontId="20" numFmtId="0" xfId="0" applyAlignment="1" applyFont="1">
      <alignment readingOrder="0" shrinkToFit="0" vertical="top" wrapText="1"/>
    </xf>
    <xf borderId="37" fillId="0" fontId="21" numFmtId="0" xfId="0" applyAlignment="1" applyBorder="1" applyFont="1">
      <alignment shrinkToFit="0" vertical="top" wrapText="1"/>
    </xf>
    <xf borderId="37" fillId="0" fontId="21" numFmtId="164" xfId="0" applyAlignment="1" applyBorder="1" applyFont="1" applyNumberFormat="1">
      <alignment shrinkToFit="0" vertical="top" wrapText="1"/>
    </xf>
    <xf borderId="38" fillId="0" fontId="21" numFmtId="0" xfId="0" applyAlignment="1" applyBorder="1" applyFont="1">
      <alignment shrinkToFit="0" vertical="top" wrapText="1"/>
    </xf>
    <xf borderId="38" fillId="0" fontId="21" numFmtId="164" xfId="0" applyAlignment="1" applyBorder="1" applyFont="1" applyNumberFormat="1">
      <alignment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A"/>
          <bgColor rgb="FFF6F8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9:L18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2.0"/>
    <col customWidth="1" min="2" max="2" width="23.88"/>
    <col customWidth="1" min="3" max="3" width="18.88"/>
    <col customWidth="1" min="4" max="4" width="22.0"/>
    <col customWidth="1" min="5" max="5" width="28.25"/>
    <col customWidth="1" min="6" max="6" width="22.63"/>
    <col customWidth="1" min="7" max="8" width="25.75"/>
    <col customWidth="1" min="9" max="9" width="13.88"/>
    <col customWidth="1" min="10" max="11" width="13.25"/>
    <col customWidth="1" min="12" max="12" width="27.0"/>
  </cols>
  <sheetData>
    <row r="1" ht="27.0" customHeight="1">
      <c r="A1" s="1" t="s">
        <v>0</v>
      </c>
    </row>
    <row r="2" ht="19.5" customHeight="1">
      <c r="A2" s="2" t="s">
        <v>1</v>
      </c>
      <c r="B2" s="3" t="s">
        <v>2</v>
      </c>
      <c r="D2" s="2" t="s">
        <v>3</v>
      </c>
      <c r="E2" s="3" t="s">
        <v>4</v>
      </c>
      <c r="H2" s="2" t="s">
        <v>5</v>
      </c>
      <c r="I2" s="3" t="s">
        <v>6</v>
      </c>
      <c r="K2" s="2" t="s">
        <v>7</v>
      </c>
      <c r="L2" s="3" t="s">
        <v>8</v>
      </c>
    </row>
    <row r="3" ht="19.5" customHeight="1">
      <c r="A3" s="2" t="s">
        <v>9</v>
      </c>
      <c r="B3" s="3" t="s">
        <v>10</v>
      </c>
      <c r="D3" s="2" t="s">
        <v>11</v>
      </c>
      <c r="E3" s="4">
        <v>46282.0</v>
      </c>
      <c r="H3" s="2" t="s">
        <v>12</v>
      </c>
      <c r="I3" s="3" t="s">
        <v>13</v>
      </c>
      <c r="K3" s="2" t="s">
        <v>14</v>
      </c>
      <c r="L3" s="3" t="s">
        <v>15</v>
      </c>
    </row>
    <row r="4" ht="16.5" customHeight="1">
      <c r="A4" s="5" t="s">
        <v>16</v>
      </c>
      <c r="B4" s="6"/>
      <c r="C4" s="7"/>
      <c r="D4" s="8" t="s">
        <v>17</v>
      </c>
      <c r="E4" s="9"/>
      <c r="F4" s="10"/>
      <c r="G4" s="11" t="s">
        <v>18</v>
      </c>
      <c r="H4" s="12"/>
      <c r="I4" s="13"/>
      <c r="J4" s="14" t="s">
        <v>19</v>
      </c>
      <c r="K4" s="15"/>
      <c r="L4" s="16"/>
    </row>
    <row r="5" ht="27.0" customHeight="1">
      <c r="A5" s="17">
        <f>COUNTA(A9:A18)</f>
        <v>10</v>
      </c>
      <c r="C5" s="18"/>
      <c r="D5" s="19">
        <f>COUNTIF(K9:K18, "Pass")</f>
        <v>8</v>
      </c>
      <c r="F5" s="20"/>
      <c r="G5" s="21">
        <f>COUNTIF(K9:K18, "Fail")</f>
        <v>2</v>
      </c>
      <c r="I5" s="22"/>
      <c r="J5" s="23">
        <f>IF(A5&gt;0, D5/A5, 0)</f>
        <v>0.8</v>
      </c>
      <c r="L5" s="24"/>
    </row>
    <row r="6" ht="15.0" customHeight="1">
      <c r="A6" s="25" t="str">
        <f>A5 &amp; " Scenarios Executed"</f>
        <v>10 Scenarios Executed</v>
      </c>
      <c r="B6" s="26"/>
      <c r="C6" s="27"/>
      <c r="D6" s="28" t="str">
        <f>IF(A5&gt;0, TEXT(D5/A5, "0.0%") &amp; " Pass Ratio", "0.0% Pass Ratio")</f>
        <v>80.0% Pass Ratio</v>
      </c>
      <c r="E6" s="29"/>
      <c r="F6" s="30"/>
      <c r="G6" s="31" t="str">
        <f>IF(A5&gt;0, TEXT(G5/A5, "0.0%") &amp; " Defect Rate", "0.0% Defect Rate")</f>
        <v>20.0% Defect Rate</v>
      </c>
      <c r="H6" s="32"/>
      <c r="I6" s="33"/>
      <c r="J6" s="34" t="s">
        <v>20</v>
      </c>
      <c r="K6" s="35"/>
      <c r="L6" s="36"/>
    </row>
    <row r="7" ht="10.5" customHeight="1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</row>
    <row r="8" ht="24.0" customHeight="1">
      <c r="A8" s="38" t="s">
        <v>21</v>
      </c>
      <c r="B8" s="38" t="s">
        <v>22</v>
      </c>
      <c r="C8" s="38" t="s">
        <v>23</v>
      </c>
      <c r="D8" s="38" t="s">
        <v>24</v>
      </c>
      <c r="E8" s="38" t="s">
        <v>25</v>
      </c>
      <c r="F8" s="38" t="s">
        <v>26</v>
      </c>
      <c r="G8" s="38" t="s">
        <v>27</v>
      </c>
      <c r="H8" s="38" t="s">
        <v>28</v>
      </c>
      <c r="I8" s="38" t="s">
        <v>29</v>
      </c>
      <c r="J8" s="38" t="s">
        <v>30</v>
      </c>
      <c r="K8" s="38" t="s">
        <v>31</v>
      </c>
      <c r="L8" s="38" t="s">
        <v>32</v>
      </c>
    </row>
    <row r="9">
      <c r="A9" s="39" t="s">
        <v>33</v>
      </c>
      <c r="B9" s="40" t="s">
        <v>34</v>
      </c>
      <c r="C9" s="40" t="s">
        <v>35</v>
      </c>
      <c r="D9" s="40" t="s">
        <v>36</v>
      </c>
      <c r="E9" s="40" t="s">
        <v>37</v>
      </c>
      <c r="F9" s="40" t="s">
        <v>38</v>
      </c>
      <c r="G9" s="40" t="s">
        <v>39</v>
      </c>
      <c r="H9" s="40" t="s">
        <v>40</v>
      </c>
      <c r="I9" s="41" t="s">
        <v>41</v>
      </c>
      <c r="J9" s="42">
        <v>46282.0</v>
      </c>
      <c r="K9" s="41" t="s">
        <v>42</v>
      </c>
      <c r="L9" s="43" t="s">
        <v>43</v>
      </c>
    </row>
    <row r="10">
      <c r="A10" s="44" t="s">
        <v>44</v>
      </c>
      <c r="B10" s="45" t="s">
        <v>45</v>
      </c>
      <c r="C10" s="45" t="s">
        <v>35</v>
      </c>
      <c r="D10" s="45" t="s">
        <v>46</v>
      </c>
      <c r="E10" s="45" t="s">
        <v>47</v>
      </c>
      <c r="F10" s="45" t="s">
        <v>48</v>
      </c>
      <c r="G10" s="45" t="s">
        <v>49</v>
      </c>
      <c r="H10" s="45" t="s">
        <v>50</v>
      </c>
      <c r="I10" s="46" t="s">
        <v>41</v>
      </c>
      <c r="J10" s="47">
        <v>46282.0</v>
      </c>
      <c r="K10" s="46" t="s">
        <v>42</v>
      </c>
      <c r="L10" s="48" t="s">
        <v>51</v>
      </c>
    </row>
    <row r="11">
      <c r="A11" s="39" t="s">
        <v>52</v>
      </c>
      <c r="B11" s="40" t="s">
        <v>53</v>
      </c>
      <c r="C11" s="40" t="s">
        <v>54</v>
      </c>
      <c r="D11" s="40" t="s">
        <v>55</v>
      </c>
      <c r="E11" s="40" t="s">
        <v>56</v>
      </c>
      <c r="F11" s="40" t="s">
        <v>57</v>
      </c>
      <c r="G11" s="40" t="s">
        <v>58</v>
      </c>
      <c r="H11" s="40" t="s">
        <v>59</v>
      </c>
      <c r="I11" s="41" t="s">
        <v>60</v>
      </c>
      <c r="J11" s="42">
        <v>46282.0</v>
      </c>
      <c r="K11" s="41" t="s">
        <v>42</v>
      </c>
      <c r="L11" s="43" t="s">
        <v>61</v>
      </c>
    </row>
    <row r="12">
      <c r="A12" s="44" t="s">
        <v>62</v>
      </c>
      <c r="B12" s="45" t="s">
        <v>63</v>
      </c>
      <c r="C12" s="45" t="s">
        <v>64</v>
      </c>
      <c r="D12" s="45" t="s">
        <v>65</v>
      </c>
      <c r="E12" s="40" t="s">
        <v>66</v>
      </c>
      <c r="F12" s="45" t="s">
        <v>67</v>
      </c>
      <c r="G12" s="45" t="s">
        <v>68</v>
      </c>
      <c r="H12" s="45" t="s">
        <v>69</v>
      </c>
      <c r="I12" s="46" t="s">
        <v>60</v>
      </c>
      <c r="J12" s="47">
        <v>46282.0</v>
      </c>
      <c r="K12" s="46" t="s">
        <v>42</v>
      </c>
      <c r="L12" s="48" t="s">
        <v>70</v>
      </c>
    </row>
    <row r="13">
      <c r="A13" s="39" t="s">
        <v>71</v>
      </c>
      <c r="B13" s="40" t="s">
        <v>72</v>
      </c>
      <c r="C13" s="40" t="s">
        <v>73</v>
      </c>
      <c r="D13" s="40" t="s">
        <v>74</v>
      </c>
      <c r="E13" s="49" t="s">
        <v>75</v>
      </c>
      <c r="F13" s="40" t="s">
        <v>76</v>
      </c>
      <c r="G13" s="40" t="s">
        <v>77</v>
      </c>
      <c r="H13" s="40" t="s">
        <v>78</v>
      </c>
      <c r="I13" s="41" t="s">
        <v>41</v>
      </c>
      <c r="J13" s="42">
        <v>46282.0</v>
      </c>
      <c r="K13" s="41" t="s">
        <v>42</v>
      </c>
      <c r="L13" s="43" t="s">
        <v>79</v>
      </c>
    </row>
    <row r="14">
      <c r="A14" s="44" t="s">
        <v>80</v>
      </c>
      <c r="B14" s="45" t="s">
        <v>81</v>
      </c>
      <c r="C14" s="45" t="s">
        <v>82</v>
      </c>
      <c r="D14" s="45" t="s">
        <v>83</v>
      </c>
      <c r="E14" s="45" t="s">
        <v>84</v>
      </c>
      <c r="F14" s="45" t="s">
        <v>85</v>
      </c>
      <c r="G14" s="45" t="s">
        <v>86</v>
      </c>
      <c r="H14" s="45" t="s">
        <v>87</v>
      </c>
      <c r="I14" s="46" t="s">
        <v>41</v>
      </c>
      <c r="J14" s="47">
        <v>46282.0</v>
      </c>
      <c r="K14" s="46" t="s">
        <v>42</v>
      </c>
      <c r="L14" s="48" t="s">
        <v>88</v>
      </c>
    </row>
    <row r="15">
      <c r="A15" s="39" t="s">
        <v>89</v>
      </c>
      <c r="B15" s="40" t="s">
        <v>90</v>
      </c>
      <c r="C15" s="40" t="s">
        <v>91</v>
      </c>
      <c r="D15" s="40" t="s">
        <v>92</v>
      </c>
      <c r="E15" s="40" t="s">
        <v>93</v>
      </c>
      <c r="F15" s="40" t="s">
        <v>94</v>
      </c>
      <c r="G15" s="40" t="s">
        <v>95</v>
      </c>
      <c r="H15" s="40" t="s">
        <v>96</v>
      </c>
      <c r="I15" s="41" t="s">
        <v>41</v>
      </c>
      <c r="J15" s="42">
        <v>46282.0</v>
      </c>
      <c r="K15" s="41" t="s">
        <v>97</v>
      </c>
      <c r="L15" s="43" t="s">
        <v>98</v>
      </c>
    </row>
    <row r="16">
      <c r="A16" s="44" t="s">
        <v>99</v>
      </c>
      <c r="B16" s="45" t="s">
        <v>100</v>
      </c>
      <c r="C16" s="45" t="s">
        <v>101</v>
      </c>
      <c r="D16" s="45" t="s">
        <v>102</v>
      </c>
      <c r="E16" s="45" t="s">
        <v>103</v>
      </c>
      <c r="F16" s="45" t="s">
        <v>104</v>
      </c>
      <c r="G16" s="45" t="s">
        <v>105</v>
      </c>
      <c r="H16" s="45" t="s">
        <v>106</v>
      </c>
      <c r="I16" s="46" t="s">
        <v>60</v>
      </c>
      <c r="J16" s="47">
        <v>46282.0</v>
      </c>
      <c r="K16" s="46" t="s">
        <v>42</v>
      </c>
      <c r="L16" s="48" t="s">
        <v>107</v>
      </c>
    </row>
    <row r="17">
      <c r="A17" s="39" t="s">
        <v>108</v>
      </c>
      <c r="B17" s="40" t="s">
        <v>109</v>
      </c>
      <c r="C17" s="40" t="s">
        <v>110</v>
      </c>
      <c r="D17" s="40" t="s">
        <v>111</v>
      </c>
      <c r="E17" s="40" t="s">
        <v>112</v>
      </c>
      <c r="F17" s="40" t="s">
        <v>113</v>
      </c>
      <c r="G17" s="40" t="s">
        <v>114</v>
      </c>
      <c r="H17" s="40" t="s">
        <v>115</v>
      </c>
      <c r="I17" s="41" t="s">
        <v>41</v>
      </c>
      <c r="J17" s="42">
        <v>46282.0</v>
      </c>
      <c r="K17" s="41" t="s">
        <v>97</v>
      </c>
      <c r="L17" s="43" t="s">
        <v>116</v>
      </c>
    </row>
    <row r="18">
      <c r="A18" s="44" t="s">
        <v>117</v>
      </c>
      <c r="B18" s="45" t="s">
        <v>118</v>
      </c>
      <c r="C18" s="45" t="s">
        <v>73</v>
      </c>
      <c r="D18" s="45" t="s">
        <v>119</v>
      </c>
      <c r="E18" s="45" t="s">
        <v>120</v>
      </c>
      <c r="F18" s="45" t="s">
        <v>121</v>
      </c>
      <c r="G18" s="45" t="s">
        <v>122</v>
      </c>
      <c r="H18" s="45" t="s">
        <v>123</v>
      </c>
      <c r="I18" s="46" t="s">
        <v>60</v>
      </c>
      <c r="J18" s="47">
        <v>46282.0</v>
      </c>
      <c r="K18" s="46" t="s">
        <v>42</v>
      </c>
      <c r="L18" s="48" t="s">
        <v>124</v>
      </c>
    </row>
    <row r="19">
      <c r="A19" s="50"/>
      <c r="B19" s="50"/>
      <c r="C19" s="50"/>
      <c r="D19" s="50"/>
      <c r="E19" s="50"/>
      <c r="F19" s="50"/>
      <c r="G19" s="50"/>
      <c r="H19" s="50"/>
      <c r="I19" s="50"/>
      <c r="J19" s="51"/>
      <c r="K19" s="50"/>
      <c r="L19" s="50"/>
    </row>
    <row r="20">
      <c r="A20" s="52"/>
      <c r="B20" s="52"/>
      <c r="C20" s="52"/>
      <c r="D20" s="52"/>
      <c r="E20" s="52"/>
      <c r="F20" s="52"/>
      <c r="G20" s="52"/>
      <c r="H20" s="52"/>
      <c r="I20" s="52"/>
      <c r="J20" s="53"/>
      <c r="K20" s="52"/>
      <c r="L20" s="52"/>
    </row>
    <row r="21">
      <c r="A21" s="52"/>
      <c r="B21" s="52"/>
      <c r="C21" s="52"/>
      <c r="D21" s="52"/>
      <c r="E21" s="52"/>
      <c r="F21" s="52"/>
      <c r="G21" s="52"/>
      <c r="H21" s="52"/>
      <c r="I21" s="52"/>
      <c r="J21" s="53"/>
      <c r="K21" s="52"/>
      <c r="L21" s="52"/>
    </row>
    <row r="22">
      <c r="A22" s="52"/>
      <c r="B22" s="52"/>
      <c r="C22" s="52"/>
      <c r="D22" s="52"/>
      <c r="E22" s="52"/>
      <c r="F22" s="52"/>
      <c r="G22" s="52"/>
      <c r="H22" s="52"/>
      <c r="I22" s="52"/>
      <c r="J22" s="53"/>
      <c r="K22" s="52"/>
      <c r="L22" s="52"/>
    </row>
    <row r="23">
      <c r="A23" s="52"/>
      <c r="B23" s="52"/>
      <c r="C23" s="52"/>
      <c r="D23" s="52"/>
      <c r="E23" s="52"/>
      <c r="F23" s="52"/>
      <c r="G23" s="52"/>
      <c r="H23" s="52"/>
      <c r="I23" s="52"/>
      <c r="J23" s="53"/>
      <c r="K23" s="52"/>
      <c r="L23" s="52"/>
    </row>
    <row r="24">
      <c r="A24" s="52"/>
      <c r="B24" s="52"/>
      <c r="C24" s="52"/>
      <c r="D24" s="52"/>
      <c r="E24" s="52"/>
      <c r="F24" s="52"/>
      <c r="G24" s="52"/>
      <c r="H24" s="52"/>
      <c r="I24" s="52"/>
      <c r="J24" s="53"/>
      <c r="K24" s="52"/>
      <c r="L24" s="52"/>
    </row>
    <row r="25">
      <c r="A25" s="52"/>
      <c r="B25" s="52"/>
      <c r="C25" s="52"/>
      <c r="D25" s="52"/>
      <c r="E25" s="52"/>
      <c r="F25" s="52"/>
      <c r="G25" s="52"/>
      <c r="H25" s="52"/>
      <c r="I25" s="52"/>
      <c r="J25" s="53"/>
      <c r="K25" s="52"/>
      <c r="L25" s="52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3"/>
      <c r="K26" s="52"/>
      <c r="L26" s="52"/>
    </row>
    <row r="27">
      <c r="A27" s="52"/>
      <c r="B27" s="52"/>
      <c r="C27" s="52"/>
      <c r="D27" s="52"/>
      <c r="E27" s="52"/>
      <c r="F27" s="52"/>
      <c r="G27" s="52"/>
      <c r="H27" s="52"/>
      <c r="I27" s="52"/>
      <c r="J27" s="53"/>
      <c r="K27" s="52"/>
      <c r="L27" s="52"/>
    </row>
    <row r="28">
      <c r="A28" s="52"/>
      <c r="B28" s="52"/>
      <c r="C28" s="52"/>
      <c r="D28" s="52"/>
      <c r="E28" s="52"/>
      <c r="F28" s="52"/>
      <c r="G28" s="52"/>
      <c r="H28" s="52"/>
      <c r="I28" s="52"/>
      <c r="J28" s="53"/>
      <c r="K28" s="52"/>
      <c r="L28" s="52"/>
    </row>
    <row r="29">
      <c r="A29" s="52"/>
      <c r="B29" s="52"/>
      <c r="C29" s="52"/>
      <c r="D29" s="52"/>
      <c r="E29" s="52"/>
      <c r="F29" s="52"/>
      <c r="G29" s="52"/>
      <c r="H29" s="52"/>
      <c r="I29" s="52"/>
      <c r="J29" s="53"/>
      <c r="K29" s="52"/>
      <c r="L29" s="52"/>
    </row>
    <row r="30">
      <c r="A30" s="52"/>
      <c r="B30" s="52"/>
      <c r="C30" s="52"/>
      <c r="D30" s="52"/>
      <c r="E30" s="52"/>
      <c r="F30" s="52"/>
      <c r="G30" s="52"/>
      <c r="H30" s="52"/>
      <c r="I30" s="52"/>
      <c r="J30" s="53"/>
      <c r="K30" s="52"/>
      <c r="L30" s="52"/>
    </row>
    <row r="31">
      <c r="A31" s="52"/>
      <c r="B31" s="52"/>
      <c r="C31" s="52"/>
      <c r="D31" s="52"/>
      <c r="E31" s="52"/>
      <c r="F31" s="52"/>
      <c r="G31" s="52"/>
      <c r="H31" s="52"/>
      <c r="I31" s="52"/>
      <c r="J31" s="53"/>
      <c r="K31" s="52"/>
      <c r="L31" s="52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3"/>
      <c r="K32" s="52"/>
      <c r="L32" s="52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3"/>
      <c r="K33" s="52"/>
      <c r="L33" s="52"/>
    </row>
    <row r="34">
      <c r="A34" s="52"/>
      <c r="B34" s="52"/>
      <c r="C34" s="52"/>
      <c r="D34" s="52"/>
      <c r="E34" s="52"/>
      <c r="F34" s="52"/>
      <c r="G34" s="52"/>
      <c r="H34" s="52"/>
      <c r="I34" s="52"/>
      <c r="J34" s="53"/>
      <c r="K34" s="52"/>
      <c r="L34" s="52"/>
    </row>
    <row r="35">
      <c r="A35" s="52"/>
      <c r="B35" s="52"/>
      <c r="C35" s="52"/>
      <c r="D35" s="52"/>
      <c r="E35" s="52"/>
      <c r="F35" s="52"/>
      <c r="G35" s="52"/>
      <c r="H35" s="52"/>
      <c r="I35" s="52"/>
      <c r="J35" s="53"/>
      <c r="K35" s="52"/>
      <c r="L35" s="52"/>
    </row>
    <row r="36">
      <c r="A36" s="52"/>
      <c r="B36" s="52"/>
      <c r="C36" s="52"/>
      <c r="D36" s="52"/>
      <c r="E36" s="52"/>
      <c r="F36" s="52"/>
      <c r="G36" s="52"/>
      <c r="H36" s="52"/>
      <c r="I36" s="52"/>
      <c r="J36" s="53"/>
      <c r="K36" s="52"/>
      <c r="L36" s="52"/>
    </row>
    <row r="37">
      <c r="A37" s="52"/>
      <c r="B37" s="52"/>
      <c r="C37" s="52"/>
      <c r="D37" s="52"/>
      <c r="E37" s="52"/>
      <c r="F37" s="52"/>
      <c r="G37" s="52"/>
      <c r="H37" s="52"/>
      <c r="I37" s="52"/>
      <c r="J37" s="53"/>
      <c r="K37" s="52"/>
      <c r="L37" s="52"/>
    </row>
    <row r="38">
      <c r="A38" s="52"/>
      <c r="B38" s="52"/>
      <c r="C38" s="52"/>
      <c r="D38" s="52"/>
      <c r="E38" s="52"/>
      <c r="F38" s="52"/>
      <c r="G38" s="52"/>
      <c r="H38" s="52"/>
      <c r="I38" s="52"/>
      <c r="J38" s="53"/>
      <c r="K38" s="52"/>
      <c r="L38" s="52"/>
    </row>
    <row r="39">
      <c r="A39" s="52"/>
      <c r="B39" s="52"/>
      <c r="C39" s="52"/>
      <c r="D39" s="52"/>
      <c r="E39" s="52"/>
      <c r="F39" s="52"/>
      <c r="G39" s="52"/>
      <c r="H39" s="52"/>
      <c r="I39" s="52"/>
      <c r="J39" s="53"/>
      <c r="K39" s="52"/>
      <c r="L39" s="52"/>
    </row>
    <row r="40">
      <c r="A40" s="52"/>
      <c r="B40" s="52"/>
      <c r="C40" s="52"/>
      <c r="D40" s="52"/>
      <c r="E40" s="52"/>
      <c r="F40" s="52"/>
      <c r="G40" s="52"/>
      <c r="H40" s="52"/>
      <c r="I40" s="52"/>
      <c r="J40" s="53"/>
      <c r="K40" s="52"/>
      <c r="L40" s="52"/>
    </row>
    <row r="41">
      <c r="A41" s="52"/>
      <c r="B41" s="52"/>
      <c r="C41" s="52"/>
      <c r="D41" s="52"/>
      <c r="E41" s="52"/>
      <c r="F41" s="52"/>
      <c r="G41" s="52"/>
      <c r="H41" s="52"/>
      <c r="I41" s="52"/>
      <c r="J41" s="53"/>
      <c r="K41" s="52"/>
      <c r="L41" s="52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3"/>
      <c r="K42" s="52"/>
      <c r="L42" s="52"/>
    </row>
    <row r="43">
      <c r="A43" s="52"/>
      <c r="B43" s="52"/>
      <c r="C43" s="52"/>
      <c r="D43" s="52"/>
      <c r="E43" s="52"/>
      <c r="F43" s="52"/>
      <c r="G43" s="52"/>
      <c r="H43" s="52"/>
      <c r="I43" s="52"/>
      <c r="J43" s="53"/>
      <c r="K43" s="52"/>
      <c r="L43" s="52"/>
    </row>
    <row r="44">
      <c r="A44" s="52"/>
      <c r="B44" s="52"/>
      <c r="C44" s="52"/>
      <c r="D44" s="52"/>
      <c r="E44" s="52"/>
      <c r="F44" s="52"/>
      <c r="G44" s="52"/>
      <c r="H44" s="52"/>
      <c r="I44" s="52"/>
      <c r="J44" s="53"/>
      <c r="K44" s="52"/>
      <c r="L44" s="52"/>
    </row>
    <row r="45">
      <c r="A45" s="52"/>
      <c r="B45" s="52"/>
      <c r="C45" s="52"/>
      <c r="D45" s="52"/>
      <c r="E45" s="52"/>
      <c r="F45" s="52"/>
      <c r="G45" s="52"/>
      <c r="H45" s="52"/>
      <c r="I45" s="52"/>
      <c r="J45" s="53"/>
      <c r="K45" s="52"/>
      <c r="L45" s="52"/>
    </row>
    <row r="46">
      <c r="A46" s="52"/>
      <c r="B46" s="52"/>
      <c r="C46" s="52"/>
      <c r="D46" s="52"/>
      <c r="E46" s="52"/>
      <c r="F46" s="52"/>
      <c r="G46" s="52"/>
      <c r="H46" s="52"/>
      <c r="I46" s="52"/>
      <c r="J46" s="53"/>
      <c r="K46" s="52"/>
      <c r="L46" s="52"/>
    </row>
    <row r="47">
      <c r="A47" s="52"/>
      <c r="B47" s="52"/>
      <c r="C47" s="52"/>
      <c r="D47" s="52"/>
      <c r="E47" s="52"/>
      <c r="F47" s="52"/>
      <c r="G47" s="52"/>
      <c r="H47" s="52"/>
      <c r="I47" s="52"/>
      <c r="J47" s="53"/>
      <c r="K47" s="52"/>
      <c r="L47" s="52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3"/>
      <c r="K48" s="52"/>
      <c r="L48" s="52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3"/>
      <c r="K49" s="52"/>
      <c r="L49" s="52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3"/>
      <c r="K50" s="52"/>
      <c r="L50" s="52"/>
    </row>
    <row r="51">
      <c r="A51" s="52"/>
      <c r="B51" s="52"/>
      <c r="C51" s="52"/>
      <c r="D51" s="52"/>
      <c r="E51" s="52"/>
      <c r="F51" s="52"/>
      <c r="G51" s="52"/>
      <c r="H51" s="52"/>
      <c r="I51" s="52"/>
      <c r="J51" s="53"/>
      <c r="K51" s="52"/>
      <c r="L51" s="52"/>
    </row>
    <row r="52">
      <c r="A52" s="52"/>
      <c r="B52" s="52"/>
      <c r="C52" s="52"/>
      <c r="D52" s="52"/>
      <c r="E52" s="52"/>
      <c r="F52" s="52"/>
      <c r="G52" s="52"/>
      <c r="H52" s="52"/>
      <c r="I52" s="52"/>
      <c r="J52" s="53"/>
      <c r="K52" s="52"/>
      <c r="L52" s="52"/>
    </row>
    <row r="53">
      <c r="A53" s="52"/>
      <c r="B53" s="52"/>
      <c r="C53" s="52"/>
      <c r="D53" s="52"/>
      <c r="E53" s="52"/>
      <c r="F53" s="52"/>
      <c r="G53" s="52"/>
      <c r="H53" s="52"/>
      <c r="I53" s="52"/>
      <c r="J53" s="53"/>
      <c r="K53" s="52"/>
      <c r="L53" s="52"/>
    </row>
    <row r="54">
      <c r="A54" s="52"/>
      <c r="B54" s="52"/>
      <c r="C54" s="52"/>
      <c r="D54" s="52"/>
      <c r="E54" s="52"/>
      <c r="F54" s="52"/>
      <c r="G54" s="52"/>
      <c r="H54" s="52"/>
      <c r="I54" s="52"/>
      <c r="J54" s="53"/>
      <c r="K54" s="52"/>
      <c r="L54" s="52"/>
    </row>
    <row r="55">
      <c r="A55" s="52"/>
      <c r="B55" s="52"/>
      <c r="C55" s="52"/>
      <c r="D55" s="52"/>
      <c r="E55" s="52"/>
      <c r="F55" s="52"/>
      <c r="G55" s="52"/>
      <c r="H55" s="52"/>
      <c r="I55" s="52"/>
      <c r="J55" s="53"/>
      <c r="K55" s="52"/>
      <c r="L55" s="52"/>
    </row>
    <row r="56">
      <c r="A56" s="52"/>
      <c r="B56" s="52"/>
      <c r="C56" s="52"/>
      <c r="D56" s="52"/>
      <c r="E56" s="52"/>
      <c r="F56" s="52"/>
      <c r="G56" s="52"/>
      <c r="H56" s="52"/>
      <c r="I56" s="52"/>
      <c r="J56" s="53"/>
      <c r="K56" s="52"/>
      <c r="L56" s="52"/>
    </row>
    <row r="57">
      <c r="A57" s="52"/>
      <c r="B57" s="52"/>
      <c r="C57" s="52"/>
      <c r="D57" s="52"/>
      <c r="E57" s="52"/>
      <c r="F57" s="52"/>
      <c r="G57" s="52"/>
      <c r="H57" s="52"/>
      <c r="I57" s="52"/>
      <c r="J57" s="53"/>
      <c r="K57" s="52"/>
      <c r="L57" s="52"/>
    </row>
    <row r="58">
      <c r="A58" s="52"/>
      <c r="B58" s="52"/>
      <c r="C58" s="52"/>
      <c r="D58" s="52"/>
      <c r="E58" s="52"/>
      <c r="F58" s="52"/>
      <c r="G58" s="52"/>
      <c r="H58" s="52"/>
      <c r="I58" s="52"/>
      <c r="J58" s="53"/>
      <c r="K58" s="52"/>
      <c r="L58" s="52"/>
    </row>
    <row r="59">
      <c r="A59" s="52"/>
      <c r="B59" s="52"/>
      <c r="C59" s="52"/>
      <c r="D59" s="52"/>
      <c r="E59" s="52"/>
      <c r="F59" s="52"/>
      <c r="G59" s="52"/>
      <c r="H59" s="52"/>
      <c r="I59" s="52"/>
      <c r="J59" s="53"/>
      <c r="K59" s="52"/>
      <c r="L59" s="52"/>
    </row>
    <row r="60">
      <c r="A60" s="52"/>
      <c r="B60" s="52"/>
      <c r="C60" s="52"/>
      <c r="D60" s="52"/>
      <c r="E60" s="52"/>
      <c r="F60" s="52"/>
      <c r="G60" s="52"/>
      <c r="H60" s="52"/>
      <c r="I60" s="52"/>
      <c r="J60" s="53"/>
      <c r="K60" s="52"/>
      <c r="L60" s="52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3"/>
      <c r="K61" s="52"/>
      <c r="L61" s="52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3"/>
      <c r="K62" s="52"/>
      <c r="L62" s="52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3"/>
      <c r="K63" s="52"/>
      <c r="L63" s="52"/>
    </row>
    <row r="64">
      <c r="A64" s="52"/>
      <c r="B64" s="52"/>
      <c r="C64" s="52"/>
      <c r="D64" s="52"/>
      <c r="E64" s="52"/>
      <c r="F64" s="52"/>
      <c r="G64" s="52"/>
      <c r="H64" s="52"/>
      <c r="I64" s="52"/>
      <c r="J64" s="53"/>
      <c r="K64" s="52"/>
      <c r="L64" s="52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3"/>
      <c r="K65" s="52"/>
      <c r="L65" s="52"/>
    </row>
    <row r="66">
      <c r="A66" s="52"/>
      <c r="B66" s="52"/>
      <c r="C66" s="52"/>
      <c r="D66" s="52"/>
      <c r="E66" s="52"/>
      <c r="F66" s="52"/>
      <c r="G66" s="52"/>
      <c r="H66" s="52"/>
      <c r="I66" s="52"/>
      <c r="J66" s="53"/>
      <c r="K66" s="52"/>
      <c r="L66" s="52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3"/>
      <c r="K67" s="52"/>
      <c r="L67" s="52"/>
    </row>
    <row r="68">
      <c r="A68" s="52"/>
      <c r="B68" s="52"/>
      <c r="C68" s="52"/>
      <c r="D68" s="52"/>
      <c r="E68" s="52"/>
      <c r="F68" s="52"/>
      <c r="G68" s="52"/>
      <c r="H68" s="52"/>
      <c r="I68" s="52"/>
      <c r="J68" s="53"/>
      <c r="K68" s="52"/>
      <c r="L68" s="52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3"/>
      <c r="K69" s="52"/>
      <c r="L69" s="52"/>
    </row>
    <row r="70">
      <c r="A70" s="52"/>
      <c r="B70" s="52"/>
      <c r="C70" s="52"/>
      <c r="D70" s="52"/>
      <c r="E70" s="52"/>
      <c r="F70" s="52"/>
      <c r="G70" s="52"/>
      <c r="H70" s="52"/>
      <c r="I70" s="52"/>
      <c r="J70" s="53"/>
      <c r="K70" s="52"/>
      <c r="L70" s="52"/>
    </row>
    <row r="71">
      <c r="A71" s="52"/>
      <c r="B71" s="52"/>
      <c r="C71" s="52"/>
      <c r="D71" s="52"/>
      <c r="E71" s="52"/>
      <c r="F71" s="52"/>
      <c r="G71" s="52"/>
      <c r="H71" s="52"/>
      <c r="I71" s="52"/>
      <c r="J71" s="53"/>
      <c r="K71" s="52"/>
      <c r="L71" s="52"/>
    </row>
    <row r="72">
      <c r="A72" s="52"/>
      <c r="B72" s="52"/>
      <c r="C72" s="52"/>
      <c r="D72" s="52"/>
      <c r="E72" s="52"/>
      <c r="F72" s="52"/>
      <c r="G72" s="52"/>
      <c r="H72" s="52"/>
      <c r="I72" s="52"/>
      <c r="J72" s="53"/>
      <c r="K72" s="52"/>
      <c r="L72" s="52"/>
    </row>
    <row r="73">
      <c r="A73" s="52"/>
      <c r="B73" s="52"/>
      <c r="C73" s="52"/>
      <c r="D73" s="52"/>
      <c r="E73" s="52"/>
      <c r="F73" s="52"/>
      <c r="G73" s="52"/>
      <c r="H73" s="52"/>
      <c r="I73" s="52"/>
      <c r="J73" s="53"/>
      <c r="K73" s="52"/>
      <c r="L73" s="52"/>
    </row>
    <row r="74">
      <c r="A74" s="52"/>
      <c r="B74" s="52"/>
      <c r="C74" s="52"/>
      <c r="D74" s="52"/>
      <c r="E74" s="52"/>
      <c r="F74" s="52"/>
      <c r="G74" s="52"/>
      <c r="H74" s="52"/>
      <c r="I74" s="52"/>
      <c r="J74" s="53"/>
      <c r="K74" s="52"/>
      <c r="L74" s="52"/>
    </row>
    <row r="75">
      <c r="A75" s="52"/>
      <c r="B75" s="52"/>
      <c r="C75" s="52"/>
      <c r="D75" s="52"/>
      <c r="E75" s="52"/>
      <c r="F75" s="52"/>
      <c r="G75" s="52"/>
      <c r="H75" s="52"/>
      <c r="I75" s="52"/>
      <c r="J75" s="53"/>
      <c r="K75" s="52"/>
      <c r="L75" s="52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3"/>
      <c r="K76" s="52"/>
      <c r="L76" s="52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3"/>
      <c r="K77" s="52"/>
      <c r="L77" s="52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3"/>
      <c r="K78" s="52"/>
      <c r="L78" s="52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3"/>
      <c r="K79" s="52"/>
      <c r="L79" s="52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3"/>
      <c r="K80" s="52"/>
      <c r="L80" s="52"/>
    </row>
    <row r="81">
      <c r="A81" s="52"/>
      <c r="B81" s="52"/>
      <c r="C81" s="52"/>
      <c r="D81" s="52"/>
      <c r="E81" s="52"/>
      <c r="F81" s="52"/>
      <c r="G81" s="52"/>
      <c r="H81" s="52"/>
      <c r="I81" s="52"/>
      <c r="J81" s="53"/>
      <c r="K81" s="52"/>
      <c r="L81" s="52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3"/>
      <c r="K82" s="52"/>
      <c r="L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3"/>
      <c r="K83" s="52"/>
      <c r="L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3"/>
      <c r="K84" s="52"/>
      <c r="L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3"/>
      <c r="K85" s="52"/>
      <c r="L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3"/>
      <c r="K86" s="52"/>
      <c r="L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3"/>
      <c r="K87" s="52"/>
      <c r="L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3"/>
      <c r="K88" s="52"/>
      <c r="L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3"/>
      <c r="K89" s="52"/>
      <c r="L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3"/>
      <c r="K90" s="52"/>
      <c r="L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3"/>
      <c r="K91" s="52"/>
      <c r="L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3"/>
      <c r="K92" s="52"/>
      <c r="L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3"/>
      <c r="K93" s="52"/>
      <c r="L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3"/>
      <c r="K94" s="52"/>
      <c r="L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3"/>
      <c r="K95" s="52"/>
      <c r="L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3"/>
      <c r="K96" s="52"/>
      <c r="L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3"/>
      <c r="K97" s="52"/>
      <c r="L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3"/>
      <c r="K98" s="52"/>
      <c r="L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3"/>
      <c r="K99" s="52"/>
      <c r="L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3"/>
      <c r="K100" s="52"/>
      <c r="L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3"/>
      <c r="K101" s="52"/>
      <c r="L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3"/>
      <c r="K102" s="52"/>
      <c r="L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3"/>
      <c r="K103" s="52"/>
      <c r="L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3"/>
      <c r="K104" s="52"/>
      <c r="L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3"/>
      <c r="K105" s="52"/>
      <c r="L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3"/>
      <c r="K106" s="52"/>
      <c r="L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3"/>
      <c r="K107" s="52"/>
      <c r="L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3"/>
      <c r="K108" s="52"/>
      <c r="L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3"/>
      <c r="K109" s="52"/>
      <c r="L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3"/>
      <c r="K110" s="52"/>
      <c r="L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3"/>
      <c r="K111" s="52"/>
      <c r="L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3"/>
      <c r="K112" s="52"/>
      <c r="L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3"/>
      <c r="K113" s="52"/>
      <c r="L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3"/>
      <c r="K114" s="52"/>
      <c r="L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3"/>
      <c r="K115" s="52"/>
      <c r="L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3"/>
      <c r="K116" s="52"/>
      <c r="L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3"/>
      <c r="K117" s="52"/>
      <c r="L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3"/>
      <c r="K118" s="52"/>
      <c r="L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3"/>
      <c r="K119" s="52"/>
      <c r="L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3"/>
      <c r="K120" s="52"/>
      <c r="L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3"/>
      <c r="K121" s="52"/>
      <c r="L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3"/>
      <c r="K122" s="52"/>
      <c r="L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3"/>
      <c r="K123" s="52"/>
      <c r="L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3"/>
      <c r="K124" s="52"/>
      <c r="L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3"/>
      <c r="K125" s="52"/>
      <c r="L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3"/>
      <c r="K126" s="52"/>
      <c r="L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3"/>
      <c r="K127" s="52"/>
      <c r="L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3"/>
      <c r="K128" s="52"/>
      <c r="L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3"/>
      <c r="K129" s="52"/>
      <c r="L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3"/>
      <c r="K130" s="52"/>
      <c r="L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3"/>
      <c r="K131" s="52"/>
      <c r="L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3"/>
      <c r="K132" s="52"/>
      <c r="L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3"/>
      <c r="K133" s="52"/>
      <c r="L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3"/>
      <c r="K134" s="52"/>
      <c r="L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3"/>
      <c r="K135" s="52"/>
      <c r="L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3"/>
      <c r="K136" s="52"/>
      <c r="L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3"/>
      <c r="K137" s="52"/>
      <c r="L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3"/>
      <c r="K138" s="52"/>
      <c r="L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3"/>
      <c r="K139" s="52"/>
      <c r="L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3"/>
      <c r="K140" s="52"/>
      <c r="L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3"/>
      <c r="K141" s="52"/>
      <c r="L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3"/>
      <c r="K142" s="52"/>
      <c r="L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3"/>
      <c r="K143" s="52"/>
      <c r="L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3"/>
      <c r="K144" s="52"/>
      <c r="L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3"/>
      <c r="K145" s="52"/>
      <c r="L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3"/>
      <c r="K146" s="52"/>
      <c r="L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3"/>
      <c r="K147" s="52"/>
      <c r="L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3"/>
      <c r="K148" s="52"/>
      <c r="L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3"/>
      <c r="K149" s="52"/>
      <c r="L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3"/>
      <c r="K150" s="52"/>
      <c r="L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3"/>
      <c r="K151" s="52"/>
      <c r="L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3"/>
      <c r="K152" s="52"/>
      <c r="L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3"/>
      <c r="K153" s="52"/>
      <c r="L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3"/>
      <c r="K154" s="52"/>
      <c r="L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3"/>
      <c r="K155" s="52"/>
      <c r="L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3"/>
      <c r="K156" s="52"/>
      <c r="L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3"/>
      <c r="K157" s="52"/>
      <c r="L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3"/>
      <c r="K158" s="52"/>
      <c r="L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3"/>
      <c r="K159" s="52"/>
      <c r="L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3"/>
      <c r="K160" s="52"/>
      <c r="L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3"/>
      <c r="K161" s="52"/>
      <c r="L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3"/>
      <c r="K162" s="52"/>
      <c r="L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3"/>
      <c r="K163" s="52"/>
      <c r="L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3"/>
      <c r="K164" s="52"/>
      <c r="L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3"/>
      <c r="K165" s="52"/>
      <c r="L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3"/>
      <c r="K166" s="52"/>
      <c r="L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3"/>
      <c r="K167" s="52"/>
      <c r="L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3"/>
      <c r="K168" s="52"/>
      <c r="L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3"/>
      <c r="K169" s="52"/>
      <c r="L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3"/>
      <c r="K170" s="52"/>
      <c r="L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3"/>
      <c r="K171" s="52"/>
      <c r="L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3"/>
      <c r="K172" s="52"/>
      <c r="L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3"/>
      <c r="K173" s="52"/>
      <c r="L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3"/>
      <c r="K174" s="52"/>
      <c r="L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3"/>
      <c r="K175" s="52"/>
      <c r="L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3"/>
      <c r="K176" s="52"/>
      <c r="L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3"/>
      <c r="K177" s="52"/>
      <c r="L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3"/>
      <c r="K178" s="52"/>
      <c r="L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3"/>
      <c r="K179" s="52"/>
      <c r="L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3"/>
      <c r="K180" s="52"/>
      <c r="L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3"/>
      <c r="K181" s="52"/>
      <c r="L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3"/>
      <c r="K182" s="52"/>
      <c r="L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3"/>
      <c r="K183" s="52"/>
      <c r="L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3"/>
      <c r="K184" s="52"/>
      <c r="L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3"/>
      <c r="K185" s="52"/>
      <c r="L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3"/>
      <c r="K186" s="52"/>
      <c r="L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3"/>
      <c r="K187" s="52"/>
      <c r="L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3"/>
      <c r="K188" s="52"/>
      <c r="L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3"/>
      <c r="K189" s="52"/>
      <c r="L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3"/>
      <c r="K190" s="52"/>
      <c r="L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3"/>
      <c r="K191" s="52"/>
      <c r="L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3"/>
      <c r="K192" s="52"/>
      <c r="L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3"/>
      <c r="K193" s="52"/>
      <c r="L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3"/>
      <c r="K194" s="52"/>
      <c r="L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3"/>
      <c r="K195" s="52"/>
      <c r="L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3"/>
      <c r="K196" s="52"/>
      <c r="L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3"/>
      <c r="K197" s="52"/>
      <c r="L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3"/>
      <c r="K198" s="52"/>
      <c r="L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3"/>
      <c r="K199" s="52"/>
      <c r="L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3"/>
      <c r="K200" s="52"/>
      <c r="L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3"/>
      <c r="K201" s="52"/>
      <c r="L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3"/>
      <c r="K202" s="52"/>
      <c r="L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3"/>
      <c r="K203" s="52"/>
      <c r="L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3"/>
      <c r="K204" s="52"/>
      <c r="L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3"/>
      <c r="K205" s="52"/>
      <c r="L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3"/>
      <c r="K206" s="52"/>
      <c r="L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3"/>
      <c r="K207" s="52"/>
      <c r="L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3"/>
      <c r="K208" s="52"/>
      <c r="L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3"/>
      <c r="K209" s="52"/>
      <c r="L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3"/>
      <c r="K210" s="52"/>
      <c r="L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3"/>
      <c r="K211" s="52"/>
      <c r="L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3"/>
      <c r="K212" s="52"/>
      <c r="L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3"/>
      <c r="K213" s="52"/>
      <c r="L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3"/>
      <c r="K214" s="52"/>
      <c r="L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3"/>
      <c r="K215" s="52"/>
      <c r="L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3"/>
      <c r="K216" s="52"/>
      <c r="L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3"/>
      <c r="K217" s="52"/>
      <c r="L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3"/>
      <c r="K218" s="52"/>
      <c r="L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3"/>
      <c r="K219" s="52"/>
      <c r="L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3"/>
      <c r="K220" s="52"/>
      <c r="L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3"/>
      <c r="K221" s="52"/>
      <c r="L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3"/>
      <c r="K222" s="52"/>
      <c r="L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3"/>
      <c r="K223" s="52"/>
      <c r="L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3"/>
      <c r="K224" s="52"/>
      <c r="L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3"/>
      <c r="K225" s="52"/>
      <c r="L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3"/>
      <c r="K226" s="52"/>
      <c r="L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3"/>
      <c r="K227" s="52"/>
      <c r="L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3"/>
      <c r="K228" s="52"/>
      <c r="L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3"/>
      <c r="K229" s="52"/>
      <c r="L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3"/>
      <c r="K230" s="52"/>
      <c r="L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3"/>
      <c r="K231" s="52"/>
      <c r="L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3"/>
      <c r="K232" s="52"/>
      <c r="L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3"/>
      <c r="K233" s="52"/>
      <c r="L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3"/>
      <c r="K234" s="52"/>
      <c r="L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3"/>
      <c r="K235" s="52"/>
      <c r="L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3"/>
      <c r="K236" s="52"/>
      <c r="L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3"/>
      <c r="K237" s="52"/>
      <c r="L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3"/>
      <c r="K238" s="52"/>
      <c r="L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3"/>
      <c r="K239" s="52"/>
      <c r="L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3"/>
      <c r="K240" s="52"/>
      <c r="L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3"/>
      <c r="K241" s="52"/>
      <c r="L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3"/>
      <c r="K242" s="52"/>
      <c r="L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3"/>
      <c r="K243" s="52"/>
      <c r="L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3"/>
      <c r="K244" s="52"/>
      <c r="L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3"/>
      <c r="K245" s="52"/>
      <c r="L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3"/>
      <c r="K246" s="52"/>
      <c r="L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3"/>
      <c r="K247" s="52"/>
      <c r="L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3"/>
      <c r="K248" s="52"/>
      <c r="L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3"/>
      <c r="K249" s="52"/>
      <c r="L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3"/>
      <c r="K250" s="52"/>
      <c r="L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3"/>
      <c r="K251" s="52"/>
      <c r="L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3"/>
      <c r="K252" s="52"/>
      <c r="L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3"/>
      <c r="K253" s="52"/>
      <c r="L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3"/>
      <c r="K254" s="52"/>
      <c r="L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3"/>
      <c r="K255" s="52"/>
      <c r="L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3"/>
      <c r="K256" s="52"/>
      <c r="L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3"/>
      <c r="K257" s="52"/>
      <c r="L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3"/>
      <c r="K258" s="52"/>
      <c r="L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3"/>
      <c r="K259" s="52"/>
      <c r="L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3"/>
      <c r="K260" s="52"/>
      <c r="L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3"/>
      <c r="K261" s="52"/>
      <c r="L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3"/>
      <c r="K262" s="52"/>
      <c r="L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3"/>
      <c r="K263" s="52"/>
      <c r="L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3"/>
      <c r="K264" s="52"/>
      <c r="L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3"/>
      <c r="K265" s="52"/>
      <c r="L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3"/>
      <c r="K266" s="52"/>
      <c r="L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3"/>
      <c r="K267" s="52"/>
      <c r="L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3"/>
      <c r="K268" s="52"/>
      <c r="L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3"/>
      <c r="K269" s="52"/>
      <c r="L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3"/>
      <c r="K270" s="52"/>
      <c r="L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3"/>
      <c r="K271" s="52"/>
      <c r="L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3"/>
      <c r="K272" s="52"/>
      <c r="L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3"/>
      <c r="K273" s="52"/>
      <c r="L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3"/>
      <c r="K274" s="52"/>
      <c r="L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3"/>
      <c r="K275" s="52"/>
      <c r="L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3"/>
      <c r="K276" s="52"/>
      <c r="L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3"/>
      <c r="K277" s="52"/>
      <c r="L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3"/>
      <c r="K278" s="52"/>
      <c r="L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3"/>
      <c r="K279" s="52"/>
      <c r="L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3"/>
      <c r="K280" s="52"/>
      <c r="L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3"/>
      <c r="K281" s="52"/>
      <c r="L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3"/>
      <c r="K282" s="52"/>
      <c r="L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3"/>
      <c r="K283" s="52"/>
      <c r="L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3"/>
      <c r="K284" s="52"/>
      <c r="L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3"/>
      <c r="K285" s="52"/>
      <c r="L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3"/>
      <c r="K286" s="52"/>
      <c r="L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3"/>
      <c r="K287" s="52"/>
      <c r="L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3"/>
      <c r="K288" s="52"/>
      <c r="L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3"/>
      <c r="K289" s="52"/>
      <c r="L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3"/>
      <c r="K290" s="52"/>
      <c r="L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3"/>
      <c r="K291" s="52"/>
      <c r="L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3"/>
      <c r="K292" s="52"/>
      <c r="L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3"/>
      <c r="K293" s="52"/>
      <c r="L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3"/>
      <c r="K294" s="52"/>
      <c r="L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3"/>
      <c r="K295" s="52"/>
      <c r="L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3"/>
      <c r="K296" s="52"/>
      <c r="L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3"/>
      <c r="K297" s="52"/>
      <c r="L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3"/>
      <c r="K298" s="52"/>
      <c r="L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3"/>
      <c r="K299" s="52"/>
      <c r="L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3"/>
      <c r="K300" s="52"/>
      <c r="L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3"/>
      <c r="K301" s="52"/>
      <c r="L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3"/>
      <c r="K302" s="52"/>
      <c r="L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3"/>
      <c r="K303" s="52"/>
      <c r="L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3"/>
      <c r="K304" s="52"/>
      <c r="L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3"/>
      <c r="K305" s="52"/>
      <c r="L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3"/>
      <c r="K306" s="52"/>
      <c r="L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3"/>
      <c r="K307" s="52"/>
      <c r="L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3"/>
      <c r="K308" s="52"/>
      <c r="L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3"/>
      <c r="K309" s="52"/>
      <c r="L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3"/>
      <c r="K310" s="52"/>
      <c r="L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3"/>
      <c r="K311" s="52"/>
      <c r="L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3"/>
      <c r="K312" s="52"/>
      <c r="L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3"/>
      <c r="K313" s="52"/>
      <c r="L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3"/>
      <c r="K314" s="52"/>
      <c r="L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3"/>
      <c r="K315" s="52"/>
      <c r="L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3"/>
      <c r="K316" s="52"/>
      <c r="L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3"/>
      <c r="K317" s="52"/>
      <c r="L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3"/>
      <c r="K318" s="52"/>
      <c r="L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3"/>
      <c r="K319" s="52"/>
      <c r="L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3"/>
      <c r="K320" s="52"/>
      <c r="L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3"/>
      <c r="K321" s="52"/>
      <c r="L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3"/>
      <c r="K322" s="52"/>
      <c r="L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3"/>
      <c r="K323" s="52"/>
      <c r="L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3"/>
      <c r="K324" s="52"/>
      <c r="L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3"/>
      <c r="K325" s="52"/>
      <c r="L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3"/>
      <c r="K326" s="52"/>
      <c r="L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3"/>
      <c r="K327" s="52"/>
      <c r="L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3"/>
      <c r="K328" s="52"/>
      <c r="L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3"/>
      <c r="K329" s="52"/>
      <c r="L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3"/>
      <c r="K330" s="52"/>
      <c r="L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3"/>
      <c r="K331" s="52"/>
      <c r="L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3"/>
      <c r="K332" s="52"/>
      <c r="L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3"/>
      <c r="K333" s="52"/>
      <c r="L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3"/>
      <c r="K334" s="52"/>
      <c r="L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3"/>
      <c r="K335" s="52"/>
      <c r="L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3"/>
      <c r="K336" s="52"/>
      <c r="L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3"/>
      <c r="K337" s="52"/>
      <c r="L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3"/>
      <c r="K338" s="52"/>
      <c r="L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3"/>
      <c r="K339" s="52"/>
      <c r="L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3"/>
      <c r="K340" s="52"/>
      <c r="L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3"/>
      <c r="K341" s="52"/>
      <c r="L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3"/>
      <c r="K342" s="52"/>
      <c r="L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3"/>
      <c r="K343" s="52"/>
      <c r="L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3"/>
      <c r="K344" s="52"/>
      <c r="L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3"/>
      <c r="K345" s="52"/>
      <c r="L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3"/>
      <c r="K346" s="52"/>
      <c r="L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3"/>
      <c r="K347" s="52"/>
      <c r="L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3"/>
      <c r="K348" s="52"/>
      <c r="L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3"/>
      <c r="K349" s="52"/>
      <c r="L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3"/>
      <c r="K350" s="52"/>
      <c r="L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3"/>
      <c r="K351" s="52"/>
      <c r="L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3"/>
      <c r="K352" s="52"/>
      <c r="L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3"/>
      <c r="K353" s="52"/>
      <c r="L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3"/>
      <c r="K354" s="52"/>
      <c r="L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3"/>
      <c r="K355" s="52"/>
      <c r="L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3"/>
      <c r="K356" s="52"/>
      <c r="L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3"/>
      <c r="K357" s="52"/>
      <c r="L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3"/>
      <c r="K358" s="52"/>
      <c r="L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3"/>
      <c r="K359" s="52"/>
      <c r="L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3"/>
      <c r="K360" s="52"/>
      <c r="L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3"/>
      <c r="K361" s="52"/>
      <c r="L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3"/>
      <c r="K362" s="52"/>
      <c r="L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3"/>
      <c r="K363" s="52"/>
      <c r="L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3"/>
      <c r="K364" s="52"/>
      <c r="L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3"/>
      <c r="K365" s="52"/>
      <c r="L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3"/>
      <c r="K366" s="52"/>
      <c r="L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3"/>
      <c r="K367" s="52"/>
      <c r="L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3"/>
      <c r="K368" s="52"/>
      <c r="L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3"/>
      <c r="K369" s="52"/>
      <c r="L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3"/>
      <c r="K370" s="52"/>
      <c r="L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3"/>
      <c r="K371" s="52"/>
      <c r="L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3"/>
      <c r="K372" s="52"/>
      <c r="L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3"/>
      <c r="K373" s="52"/>
      <c r="L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3"/>
      <c r="K374" s="52"/>
      <c r="L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3"/>
      <c r="K375" s="52"/>
      <c r="L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3"/>
      <c r="K376" s="52"/>
      <c r="L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3"/>
      <c r="K377" s="52"/>
      <c r="L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3"/>
      <c r="K378" s="52"/>
      <c r="L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3"/>
      <c r="K379" s="52"/>
      <c r="L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3"/>
      <c r="K380" s="52"/>
      <c r="L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3"/>
      <c r="K381" s="52"/>
      <c r="L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3"/>
      <c r="K382" s="52"/>
      <c r="L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3"/>
      <c r="K383" s="52"/>
      <c r="L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3"/>
      <c r="K384" s="52"/>
      <c r="L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3"/>
      <c r="K385" s="52"/>
      <c r="L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3"/>
      <c r="K386" s="52"/>
      <c r="L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3"/>
      <c r="K387" s="52"/>
      <c r="L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3"/>
      <c r="K388" s="52"/>
      <c r="L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3"/>
      <c r="K389" s="52"/>
      <c r="L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3"/>
      <c r="K390" s="52"/>
      <c r="L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3"/>
      <c r="K391" s="52"/>
      <c r="L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3"/>
      <c r="K392" s="52"/>
      <c r="L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3"/>
      <c r="K393" s="52"/>
      <c r="L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3"/>
      <c r="K394" s="52"/>
      <c r="L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3"/>
      <c r="K395" s="52"/>
      <c r="L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3"/>
      <c r="K396" s="52"/>
      <c r="L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3"/>
      <c r="K397" s="52"/>
      <c r="L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3"/>
      <c r="K398" s="52"/>
      <c r="L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3"/>
      <c r="K399" s="52"/>
      <c r="L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3"/>
      <c r="K400" s="52"/>
      <c r="L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3"/>
      <c r="K401" s="52"/>
      <c r="L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3"/>
      <c r="K402" s="52"/>
      <c r="L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3"/>
      <c r="K403" s="52"/>
      <c r="L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3"/>
      <c r="K404" s="52"/>
      <c r="L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3"/>
      <c r="K405" s="52"/>
      <c r="L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3"/>
      <c r="K406" s="52"/>
      <c r="L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3"/>
      <c r="K407" s="52"/>
      <c r="L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3"/>
      <c r="K408" s="52"/>
      <c r="L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3"/>
      <c r="K409" s="52"/>
      <c r="L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3"/>
      <c r="K410" s="52"/>
      <c r="L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3"/>
      <c r="K411" s="52"/>
      <c r="L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3"/>
      <c r="K412" s="52"/>
      <c r="L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3"/>
      <c r="K413" s="52"/>
      <c r="L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3"/>
      <c r="K414" s="52"/>
      <c r="L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3"/>
      <c r="K415" s="52"/>
      <c r="L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3"/>
      <c r="K416" s="52"/>
      <c r="L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3"/>
      <c r="K417" s="52"/>
      <c r="L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3"/>
      <c r="K418" s="52"/>
      <c r="L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3"/>
      <c r="K419" s="52"/>
      <c r="L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3"/>
      <c r="K420" s="52"/>
      <c r="L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3"/>
      <c r="K421" s="52"/>
      <c r="L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3"/>
      <c r="K422" s="52"/>
      <c r="L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3"/>
      <c r="K423" s="52"/>
      <c r="L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3"/>
      <c r="K424" s="52"/>
      <c r="L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3"/>
      <c r="K425" s="52"/>
      <c r="L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3"/>
      <c r="K426" s="52"/>
      <c r="L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3"/>
      <c r="K427" s="52"/>
      <c r="L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3"/>
      <c r="K428" s="52"/>
      <c r="L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3"/>
      <c r="K429" s="52"/>
      <c r="L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3"/>
      <c r="K430" s="52"/>
      <c r="L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3"/>
      <c r="K431" s="52"/>
      <c r="L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3"/>
      <c r="K432" s="52"/>
      <c r="L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3"/>
      <c r="K433" s="52"/>
      <c r="L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3"/>
      <c r="K434" s="52"/>
      <c r="L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3"/>
      <c r="K435" s="52"/>
      <c r="L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3"/>
      <c r="K436" s="52"/>
      <c r="L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3"/>
      <c r="K437" s="52"/>
      <c r="L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3"/>
      <c r="K438" s="52"/>
      <c r="L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3"/>
      <c r="K439" s="52"/>
      <c r="L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3"/>
      <c r="K440" s="52"/>
      <c r="L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3"/>
      <c r="K441" s="52"/>
      <c r="L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3"/>
      <c r="K442" s="52"/>
      <c r="L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3"/>
      <c r="K443" s="52"/>
      <c r="L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3"/>
      <c r="K444" s="52"/>
      <c r="L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3"/>
      <c r="K445" s="52"/>
      <c r="L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3"/>
      <c r="K446" s="52"/>
      <c r="L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3"/>
      <c r="K447" s="52"/>
      <c r="L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3"/>
      <c r="K448" s="52"/>
      <c r="L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3"/>
      <c r="K449" s="52"/>
      <c r="L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3"/>
      <c r="K450" s="52"/>
      <c r="L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3"/>
      <c r="K451" s="52"/>
      <c r="L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3"/>
      <c r="K452" s="52"/>
      <c r="L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3"/>
      <c r="K453" s="52"/>
      <c r="L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3"/>
      <c r="K454" s="52"/>
      <c r="L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3"/>
      <c r="K455" s="52"/>
      <c r="L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3"/>
      <c r="K456" s="52"/>
      <c r="L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3"/>
      <c r="K457" s="52"/>
      <c r="L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3"/>
      <c r="K458" s="52"/>
      <c r="L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3"/>
      <c r="K459" s="52"/>
      <c r="L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3"/>
      <c r="K460" s="52"/>
      <c r="L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3"/>
      <c r="K461" s="52"/>
      <c r="L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3"/>
      <c r="K462" s="52"/>
      <c r="L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3"/>
      <c r="K463" s="52"/>
      <c r="L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3"/>
      <c r="K464" s="52"/>
      <c r="L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3"/>
      <c r="K465" s="52"/>
      <c r="L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3"/>
      <c r="K466" s="52"/>
      <c r="L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3"/>
      <c r="K467" s="52"/>
      <c r="L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3"/>
      <c r="K468" s="52"/>
      <c r="L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3"/>
      <c r="K469" s="52"/>
      <c r="L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3"/>
      <c r="K470" s="52"/>
      <c r="L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3"/>
      <c r="K471" s="52"/>
      <c r="L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3"/>
      <c r="K472" s="52"/>
      <c r="L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3"/>
      <c r="K473" s="52"/>
      <c r="L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3"/>
      <c r="K474" s="52"/>
      <c r="L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3"/>
      <c r="K475" s="52"/>
      <c r="L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3"/>
      <c r="K476" s="52"/>
      <c r="L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3"/>
      <c r="K477" s="52"/>
      <c r="L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3"/>
      <c r="K478" s="52"/>
      <c r="L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3"/>
      <c r="K479" s="52"/>
      <c r="L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3"/>
      <c r="K480" s="52"/>
      <c r="L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3"/>
      <c r="K481" s="52"/>
      <c r="L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3"/>
      <c r="K482" s="52"/>
      <c r="L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3"/>
      <c r="K483" s="52"/>
      <c r="L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3"/>
      <c r="K484" s="52"/>
      <c r="L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3"/>
      <c r="K485" s="52"/>
      <c r="L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3"/>
      <c r="K486" s="52"/>
      <c r="L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3"/>
      <c r="K487" s="52"/>
      <c r="L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3"/>
      <c r="K488" s="52"/>
      <c r="L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3"/>
      <c r="K489" s="52"/>
      <c r="L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3"/>
      <c r="K490" s="52"/>
      <c r="L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3"/>
      <c r="K491" s="52"/>
      <c r="L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3"/>
      <c r="K492" s="52"/>
      <c r="L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3"/>
      <c r="K493" s="52"/>
      <c r="L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3"/>
      <c r="K494" s="52"/>
      <c r="L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3"/>
      <c r="K495" s="52"/>
      <c r="L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3"/>
      <c r="K496" s="52"/>
      <c r="L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3"/>
      <c r="K497" s="52"/>
      <c r="L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3"/>
      <c r="K498" s="52"/>
      <c r="L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3"/>
      <c r="K499" s="52"/>
      <c r="L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3"/>
      <c r="K500" s="52"/>
      <c r="L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3"/>
      <c r="K501" s="52"/>
      <c r="L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3"/>
      <c r="K502" s="52"/>
      <c r="L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3"/>
      <c r="K503" s="52"/>
      <c r="L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3"/>
      <c r="K504" s="52"/>
      <c r="L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3"/>
      <c r="K505" s="52"/>
      <c r="L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3"/>
      <c r="K506" s="52"/>
      <c r="L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3"/>
      <c r="K507" s="52"/>
      <c r="L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3"/>
      <c r="K508" s="52"/>
      <c r="L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3"/>
      <c r="K509" s="52"/>
      <c r="L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3"/>
      <c r="K510" s="52"/>
      <c r="L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3"/>
      <c r="K511" s="52"/>
      <c r="L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3"/>
      <c r="K512" s="52"/>
      <c r="L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3"/>
      <c r="K513" s="52"/>
      <c r="L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3"/>
      <c r="K514" s="52"/>
      <c r="L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3"/>
      <c r="K515" s="52"/>
      <c r="L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3"/>
      <c r="K516" s="52"/>
      <c r="L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3"/>
      <c r="K517" s="52"/>
      <c r="L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3"/>
      <c r="K518" s="52"/>
      <c r="L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3"/>
      <c r="K519" s="52"/>
      <c r="L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3"/>
      <c r="K520" s="52"/>
      <c r="L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3"/>
      <c r="K521" s="52"/>
      <c r="L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3"/>
      <c r="K522" s="52"/>
      <c r="L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3"/>
      <c r="K523" s="52"/>
      <c r="L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3"/>
      <c r="K524" s="52"/>
      <c r="L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3"/>
      <c r="K525" s="52"/>
      <c r="L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3"/>
      <c r="K526" s="52"/>
      <c r="L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3"/>
      <c r="K527" s="52"/>
      <c r="L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3"/>
      <c r="K528" s="52"/>
      <c r="L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3"/>
      <c r="K529" s="52"/>
      <c r="L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3"/>
      <c r="K530" s="52"/>
      <c r="L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3"/>
      <c r="K531" s="52"/>
      <c r="L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3"/>
      <c r="K532" s="52"/>
      <c r="L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3"/>
      <c r="K533" s="52"/>
      <c r="L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3"/>
      <c r="K534" s="52"/>
      <c r="L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3"/>
      <c r="K535" s="52"/>
      <c r="L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3"/>
      <c r="K536" s="52"/>
      <c r="L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3"/>
      <c r="K537" s="52"/>
      <c r="L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3"/>
      <c r="K538" s="52"/>
      <c r="L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3"/>
      <c r="K539" s="52"/>
      <c r="L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3"/>
      <c r="K540" s="52"/>
      <c r="L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3"/>
      <c r="K541" s="52"/>
      <c r="L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3"/>
      <c r="K542" s="52"/>
      <c r="L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3"/>
      <c r="K543" s="52"/>
      <c r="L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3"/>
      <c r="K544" s="52"/>
      <c r="L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3"/>
      <c r="K545" s="52"/>
      <c r="L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3"/>
      <c r="K546" s="52"/>
      <c r="L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3"/>
      <c r="K547" s="52"/>
      <c r="L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3"/>
      <c r="K548" s="52"/>
      <c r="L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3"/>
      <c r="K549" s="52"/>
      <c r="L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3"/>
      <c r="K550" s="52"/>
      <c r="L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3"/>
      <c r="K551" s="52"/>
      <c r="L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3"/>
      <c r="K552" s="52"/>
      <c r="L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3"/>
      <c r="K553" s="52"/>
      <c r="L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3"/>
      <c r="K554" s="52"/>
      <c r="L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3"/>
      <c r="K555" s="52"/>
      <c r="L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3"/>
      <c r="K556" s="52"/>
      <c r="L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3"/>
      <c r="K557" s="52"/>
      <c r="L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3"/>
      <c r="K558" s="52"/>
      <c r="L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3"/>
      <c r="K559" s="52"/>
      <c r="L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3"/>
      <c r="K560" s="52"/>
      <c r="L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3"/>
      <c r="K561" s="52"/>
      <c r="L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3"/>
      <c r="K562" s="52"/>
      <c r="L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3"/>
      <c r="K563" s="52"/>
      <c r="L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3"/>
      <c r="K564" s="52"/>
      <c r="L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3"/>
      <c r="K565" s="52"/>
      <c r="L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3"/>
      <c r="K566" s="52"/>
      <c r="L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3"/>
      <c r="K567" s="52"/>
      <c r="L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3"/>
      <c r="K568" s="52"/>
      <c r="L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3"/>
      <c r="K569" s="52"/>
      <c r="L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3"/>
      <c r="K570" s="52"/>
      <c r="L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3"/>
      <c r="K571" s="52"/>
      <c r="L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3"/>
      <c r="K572" s="52"/>
      <c r="L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3"/>
      <c r="K573" s="52"/>
      <c r="L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3"/>
      <c r="K574" s="52"/>
      <c r="L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3"/>
      <c r="K575" s="52"/>
      <c r="L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3"/>
      <c r="K576" s="52"/>
      <c r="L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3"/>
      <c r="K577" s="52"/>
      <c r="L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3"/>
      <c r="K578" s="52"/>
      <c r="L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3"/>
      <c r="K579" s="52"/>
      <c r="L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3"/>
      <c r="K580" s="52"/>
      <c r="L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3"/>
      <c r="K581" s="52"/>
      <c r="L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3"/>
      <c r="K582" s="52"/>
      <c r="L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3"/>
      <c r="K583" s="52"/>
      <c r="L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3"/>
      <c r="K584" s="52"/>
      <c r="L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3"/>
      <c r="K585" s="52"/>
      <c r="L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3"/>
      <c r="K586" s="52"/>
      <c r="L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3"/>
      <c r="K587" s="52"/>
      <c r="L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3"/>
      <c r="K588" s="52"/>
      <c r="L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3"/>
      <c r="K589" s="52"/>
      <c r="L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3"/>
      <c r="K590" s="52"/>
      <c r="L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3"/>
      <c r="K591" s="52"/>
      <c r="L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3"/>
      <c r="K592" s="52"/>
      <c r="L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3"/>
      <c r="K593" s="52"/>
      <c r="L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3"/>
      <c r="K594" s="52"/>
      <c r="L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3"/>
      <c r="K595" s="52"/>
      <c r="L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3"/>
      <c r="K596" s="52"/>
      <c r="L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3"/>
      <c r="K597" s="52"/>
      <c r="L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3"/>
      <c r="K598" s="52"/>
      <c r="L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3"/>
      <c r="K599" s="52"/>
      <c r="L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3"/>
      <c r="K600" s="52"/>
      <c r="L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3"/>
      <c r="K601" s="52"/>
      <c r="L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3"/>
      <c r="K602" s="52"/>
      <c r="L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3"/>
      <c r="K603" s="52"/>
      <c r="L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3"/>
      <c r="K604" s="52"/>
      <c r="L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3"/>
      <c r="K605" s="52"/>
      <c r="L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3"/>
      <c r="K606" s="52"/>
      <c r="L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3"/>
      <c r="K607" s="52"/>
      <c r="L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3"/>
      <c r="K608" s="52"/>
      <c r="L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3"/>
      <c r="K609" s="52"/>
      <c r="L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3"/>
      <c r="K610" s="52"/>
      <c r="L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3"/>
      <c r="K611" s="52"/>
      <c r="L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3"/>
      <c r="K612" s="52"/>
      <c r="L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3"/>
      <c r="K613" s="52"/>
      <c r="L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3"/>
      <c r="K614" s="52"/>
      <c r="L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3"/>
      <c r="K615" s="52"/>
      <c r="L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3"/>
      <c r="K616" s="52"/>
      <c r="L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3"/>
      <c r="K617" s="52"/>
      <c r="L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3"/>
      <c r="K618" s="52"/>
      <c r="L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3"/>
      <c r="K619" s="52"/>
      <c r="L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3"/>
      <c r="K620" s="52"/>
      <c r="L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3"/>
      <c r="K621" s="52"/>
      <c r="L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3"/>
      <c r="K622" s="52"/>
      <c r="L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3"/>
      <c r="K623" s="52"/>
      <c r="L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3"/>
      <c r="K624" s="52"/>
      <c r="L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3"/>
      <c r="K625" s="52"/>
      <c r="L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3"/>
      <c r="K626" s="52"/>
      <c r="L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3"/>
      <c r="K627" s="52"/>
      <c r="L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3"/>
      <c r="K628" s="52"/>
      <c r="L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3"/>
      <c r="K629" s="52"/>
      <c r="L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3"/>
      <c r="K630" s="52"/>
      <c r="L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3"/>
      <c r="K631" s="52"/>
      <c r="L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3"/>
      <c r="K632" s="52"/>
      <c r="L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3"/>
      <c r="K633" s="52"/>
      <c r="L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3"/>
      <c r="K634" s="52"/>
      <c r="L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3"/>
      <c r="K635" s="52"/>
      <c r="L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3"/>
      <c r="K636" s="52"/>
      <c r="L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3"/>
      <c r="K637" s="52"/>
      <c r="L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3"/>
      <c r="K638" s="52"/>
      <c r="L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3"/>
      <c r="K639" s="52"/>
      <c r="L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3"/>
      <c r="K640" s="52"/>
      <c r="L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3"/>
      <c r="K641" s="52"/>
      <c r="L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3"/>
      <c r="K642" s="52"/>
      <c r="L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3"/>
      <c r="K643" s="52"/>
      <c r="L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3"/>
      <c r="K644" s="52"/>
      <c r="L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3"/>
      <c r="K645" s="52"/>
      <c r="L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3"/>
      <c r="K646" s="52"/>
      <c r="L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3"/>
      <c r="K647" s="52"/>
      <c r="L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3"/>
      <c r="K648" s="52"/>
      <c r="L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3"/>
      <c r="K649" s="52"/>
      <c r="L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3"/>
      <c r="K650" s="52"/>
      <c r="L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3"/>
      <c r="K651" s="52"/>
      <c r="L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3"/>
      <c r="K652" s="52"/>
      <c r="L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3"/>
      <c r="K653" s="52"/>
      <c r="L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3"/>
      <c r="K654" s="52"/>
      <c r="L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3"/>
      <c r="K655" s="52"/>
      <c r="L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3"/>
      <c r="K656" s="52"/>
      <c r="L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3"/>
      <c r="K657" s="52"/>
      <c r="L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3"/>
      <c r="K658" s="52"/>
      <c r="L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3"/>
      <c r="K659" s="52"/>
      <c r="L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3"/>
      <c r="K660" s="52"/>
      <c r="L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3"/>
      <c r="K661" s="52"/>
      <c r="L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3"/>
      <c r="K662" s="52"/>
      <c r="L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3"/>
      <c r="K663" s="52"/>
      <c r="L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3"/>
      <c r="K664" s="52"/>
      <c r="L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3"/>
      <c r="K665" s="52"/>
      <c r="L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3"/>
      <c r="K666" s="52"/>
      <c r="L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3"/>
      <c r="K667" s="52"/>
      <c r="L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3"/>
      <c r="K668" s="52"/>
      <c r="L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3"/>
      <c r="K669" s="52"/>
      <c r="L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3"/>
      <c r="K670" s="52"/>
      <c r="L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3"/>
      <c r="K671" s="52"/>
      <c r="L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3"/>
      <c r="K672" s="52"/>
      <c r="L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3"/>
      <c r="K673" s="52"/>
      <c r="L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3"/>
      <c r="K674" s="52"/>
      <c r="L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3"/>
      <c r="K675" s="52"/>
      <c r="L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3"/>
      <c r="K676" s="52"/>
      <c r="L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3"/>
      <c r="K677" s="52"/>
      <c r="L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3"/>
      <c r="K678" s="52"/>
      <c r="L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3"/>
      <c r="K679" s="52"/>
      <c r="L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3"/>
      <c r="K680" s="52"/>
      <c r="L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3"/>
      <c r="K681" s="52"/>
      <c r="L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3"/>
      <c r="K682" s="52"/>
      <c r="L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3"/>
      <c r="K683" s="52"/>
      <c r="L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3"/>
      <c r="K684" s="52"/>
      <c r="L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3"/>
      <c r="K685" s="52"/>
      <c r="L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3"/>
      <c r="K686" s="52"/>
      <c r="L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3"/>
      <c r="K687" s="52"/>
      <c r="L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3"/>
      <c r="K688" s="52"/>
      <c r="L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3"/>
      <c r="K689" s="52"/>
      <c r="L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3"/>
      <c r="K690" s="52"/>
      <c r="L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3"/>
      <c r="K691" s="52"/>
      <c r="L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3"/>
      <c r="K692" s="52"/>
      <c r="L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3"/>
      <c r="K693" s="52"/>
      <c r="L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3"/>
      <c r="K694" s="52"/>
      <c r="L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3"/>
      <c r="K695" s="52"/>
      <c r="L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3"/>
      <c r="K696" s="52"/>
      <c r="L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3"/>
      <c r="K697" s="52"/>
      <c r="L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3"/>
      <c r="K698" s="52"/>
      <c r="L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3"/>
      <c r="K699" s="52"/>
      <c r="L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3"/>
      <c r="K700" s="52"/>
      <c r="L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3"/>
      <c r="K701" s="52"/>
      <c r="L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3"/>
      <c r="K702" s="52"/>
      <c r="L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3"/>
      <c r="K703" s="52"/>
      <c r="L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3"/>
      <c r="K704" s="52"/>
      <c r="L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3"/>
      <c r="K705" s="52"/>
      <c r="L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3"/>
      <c r="K706" s="52"/>
      <c r="L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3"/>
      <c r="K707" s="52"/>
      <c r="L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3"/>
      <c r="K708" s="52"/>
      <c r="L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3"/>
      <c r="K709" s="52"/>
      <c r="L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3"/>
      <c r="K710" s="52"/>
      <c r="L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3"/>
      <c r="K711" s="52"/>
      <c r="L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3"/>
      <c r="K712" s="52"/>
      <c r="L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3"/>
      <c r="K713" s="52"/>
      <c r="L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3"/>
      <c r="K714" s="52"/>
      <c r="L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3"/>
      <c r="K715" s="52"/>
      <c r="L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3"/>
      <c r="K716" s="52"/>
      <c r="L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3"/>
      <c r="K717" s="52"/>
      <c r="L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3"/>
      <c r="K718" s="52"/>
      <c r="L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3"/>
      <c r="K719" s="52"/>
      <c r="L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3"/>
      <c r="K720" s="52"/>
      <c r="L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3"/>
      <c r="K721" s="52"/>
      <c r="L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3"/>
      <c r="K722" s="52"/>
      <c r="L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3"/>
      <c r="K723" s="52"/>
      <c r="L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3"/>
      <c r="K724" s="52"/>
      <c r="L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3"/>
      <c r="K725" s="52"/>
      <c r="L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3"/>
      <c r="K726" s="52"/>
      <c r="L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3"/>
      <c r="K727" s="52"/>
      <c r="L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3"/>
      <c r="K728" s="52"/>
      <c r="L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3"/>
      <c r="K729" s="52"/>
      <c r="L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3"/>
      <c r="K730" s="52"/>
      <c r="L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3"/>
      <c r="K731" s="52"/>
      <c r="L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3"/>
      <c r="K732" s="52"/>
      <c r="L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3"/>
      <c r="K733" s="52"/>
      <c r="L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3"/>
      <c r="K734" s="52"/>
      <c r="L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3"/>
      <c r="K735" s="52"/>
      <c r="L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3"/>
      <c r="K736" s="52"/>
      <c r="L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3"/>
      <c r="K737" s="52"/>
      <c r="L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3"/>
      <c r="K738" s="52"/>
      <c r="L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3"/>
      <c r="K739" s="52"/>
      <c r="L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3"/>
      <c r="K740" s="52"/>
      <c r="L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3"/>
      <c r="K741" s="52"/>
      <c r="L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3"/>
      <c r="K742" s="52"/>
      <c r="L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3"/>
      <c r="K743" s="52"/>
      <c r="L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3"/>
      <c r="K744" s="52"/>
      <c r="L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3"/>
      <c r="K745" s="52"/>
      <c r="L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3"/>
      <c r="K746" s="52"/>
      <c r="L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3"/>
      <c r="K747" s="52"/>
      <c r="L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3"/>
      <c r="K748" s="52"/>
      <c r="L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3"/>
      <c r="K749" s="52"/>
      <c r="L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3"/>
      <c r="K750" s="52"/>
      <c r="L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3"/>
      <c r="K751" s="52"/>
      <c r="L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3"/>
      <c r="K752" s="52"/>
      <c r="L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3"/>
      <c r="K753" s="52"/>
      <c r="L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3"/>
      <c r="K754" s="52"/>
      <c r="L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3"/>
      <c r="K755" s="52"/>
      <c r="L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3"/>
      <c r="K756" s="52"/>
      <c r="L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3"/>
      <c r="K757" s="52"/>
      <c r="L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3"/>
      <c r="K758" s="52"/>
      <c r="L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3"/>
      <c r="K759" s="52"/>
      <c r="L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3"/>
      <c r="K760" s="52"/>
      <c r="L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3"/>
      <c r="K761" s="52"/>
      <c r="L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3"/>
      <c r="K762" s="52"/>
      <c r="L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3"/>
      <c r="K763" s="52"/>
      <c r="L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3"/>
      <c r="K764" s="52"/>
      <c r="L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3"/>
      <c r="K765" s="52"/>
      <c r="L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3"/>
      <c r="K766" s="52"/>
      <c r="L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3"/>
      <c r="K767" s="52"/>
      <c r="L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3"/>
      <c r="K768" s="52"/>
      <c r="L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3"/>
      <c r="K769" s="52"/>
      <c r="L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3"/>
      <c r="K770" s="52"/>
      <c r="L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3"/>
      <c r="K771" s="52"/>
      <c r="L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3"/>
      <c r="K772" s="52"/>
      <c r="L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3"/>
      <c r="K773" s="52"/>
      <c r="L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3"/>
      <c r="K774" s="52"/>
      <c r="L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3"/>
      <c r="K775" s="52"/>
      <c r="L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3"/>
      <c r="K776" s="52"/>
      <c r="L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3"/>
      <c r="K777" s="52"/>
      <c r="L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3"/>
      <c r="K778" s="52"/>
      <c r="L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3"/>
      <c r="K779" s="52"/>
      <c r="L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3"/>
      <c r="K780" s="52"/>
      <c r="L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3"/>
      <c r="K781" s="52"/>
      <c r="L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3"/>
      <c r="K782" s="52"/>
      <c r="L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3"/>
      <c r="K783" s="52"/>
      <c r="L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3"/>
      <c r="K784" s="52"/>
      <c r="L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3"/>
      <c r="K785" s="52"/>
      <c r="L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3"/>
      <c r="K786" s="52"/>
      <c r="L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3"/>
      <c r="K787" s="52"/>
      <c r="L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3"/>
      <c r="K788" s="52"/>
      <c r="L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3"/>
      <c r="K789" s="52"/>
      <c r="L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3"/>
      <c r="K790" s="52"/>
      <c r="L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3"/>
      <c r="K791" s="52"/>
      <c r="L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3"/>
      <c r="K792" s="52"/>
      <c r="L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3"/>
      <c r="K793" s="52"/>
      <c r="L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3"/>
      <c r="K794" s="52"/>
      <c r="L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3"/>
      <c r="K795" s="52"/>
      <c r="L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3"/>
      <c r="K796" s="52"/>
      <c r="L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3"/>
      <c r="K797" s="52"/>
      <c r="L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3"/>
      <c r="K798" s="52"/>
      <c r="L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3"/>
      <c r="K799" s="52"/>
      <c r="L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3"/>
      <c r="K800" s="52"/>
      <c r="L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3"/>
      <c r="K801" s="52"/>
      <c r="L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3"/>
      <c r="K802" s="52"/>
      <c r="L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3"/>
      <c r="K803" s="52"/>
      <c r="L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3"/>
      <c r="K804" s="52"/>
      <c r="L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3"/>
      <c r="K805" s="52"/>
      <c r="L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3"/>
      <c r="K806" s="52"/>
      <c r="L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3"/>
      <c r="K807" s="52"/>
      <c r="L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3"/>
      <c r="K808" s="52"/>
      <c r="L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3"/>
      <c r="K809" s="52"/>
      <c r="L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3"/>
      <c r="K810" s="52"/>
      <c r="L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3"/>
      <c r="K811" s="52"/>
      <c r="L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3"/>
      <c r="K812" s="52"/>
      <c r="L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3"/>
      <c r="K813" s="52"/>
      <c r="L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3"/>
      <c r="K814" s="52"/>
      <c r="L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3"/>
      <c r="K815" s="52"/>
      <c r="L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3"/>
      <c r="K816" s="52"/>
      <c r="L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3"/>
      <c r="K817" s="52"/>
      <c r="L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3"/>
      <c r="K818" s="52"/>
      <c r="L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3"/>
      <c r="K819" s="52"/>
      <c r="L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3"/>
      <c r="K820" s="52"/>
      <c r="L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3"/>
      <c r="K821" s="52"/>
      <c r="L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3"/>
      <c r="K822" s="52"/>
      <c r="L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3"/>
      <c r="K823" s="52"/>
      <c r="L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3"/>
      <c r="K824" s="52"/>
      <c r="L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3"/>
      <c r="K825" s="52"/>
      <c r="L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3"/>
      <c r="K826" s="52"/>
      <c r="L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3"/>
      <c r="K827" s="52"/>
      <c r="L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3"/>
      <c r="K828" s="52"/>
      <c r="L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3"/>
      <c r="K829" s="52"/>
      <c r="L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3"/>
      <c r="K830" s="52"/>
      <c r="L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3"/>
      <c r="K831" s="52"/>
      <c r="L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3"/>
      <c r="K832" s="52"/>
      <c r="L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3"/>
      <c r="K833" s="52"/>
      <c r="L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3"/>
      <c r="K834" s="52"/>
      <c r="L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3"/>
      <c r="K835" s="52"/>
      <c r="L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3"/>
      <c r="K836" s="52"/>
      <c r="L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3"/>
      <c r="K837" s="52"/>
      <c r="L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3"/>
      <c r="K838" s="52"/>
      <c r="L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3"/>
      <c r="K839" s="52"/>
      <c r="L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3"/>
      <c r="K840" s="52"/>
      <c r="L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3"/>
      <c r="K841" s="52"/>
      <c r="L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3"/>
      <c r="K842" s="52"/>
      <c r="L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3"/>
      <c r="K843" s="52"/>
      <c r="L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3"/>
      <c r="K844" s="52"/>
      <c r="L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3"/>
      <c r="K845" s="52"/>
      <c r="L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3"/>
      <c r="K846" s="52"/>
      <c r="L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3"/>
      <c r="K847" s="52"/>
      <c r="L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3"/>
      <c r="K848" s="52"/>
      <c r="L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3"/>
      <c r="K849" s="52"/>
      <c r="L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3"/>
      <c r="K850" s="52"/>
      <c r="L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3"/>
      <c r="K851" s="52"/>
      <c r="L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3"/>
      <c r="K852" s="52"/>
      <c r="L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3"/>
      <c r="K853" s="52"/>
      <c r="L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3"/>
      <c r="K854" s="52"/>
      <c r="L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3"/>
      <c r="K855" s="52"/>
      <c r="L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3"/>
      <c r="K856" s="52"/>
      <c r="L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3"/>
      <c r="K857" s="52"/>
      <c r="L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3"/>
      <c r="K858" s="52"/>
      <c r="L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3"/>
      <c r="K859" s="52"/>
      <c r="L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3"/>
      <c r="K860" s="52"/>
      <c r="L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3"/>
      <c r="K861" s="52"/>
      <c r="L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3"/>
      <c r="K862" s="52"/>
      <c r="L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3"/>
      <c r="K863" s="52"/>
      <c r="L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3"/>
      <c r="K864" s="52"/>
      <c r="L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3"/>
      <c r="K865" s="52"/>
      <c r="L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3"/>
      <c r="K866" s="52"/>
      <c r="L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3"/>
      <c r="K867" s="52"/>
      <c r="L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3"/>
      <c r="K868" s="52"/>
      <c r="L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3"/>
      <c r="K869" s="52"/>
      <c r="L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3"/>
      <c r="K870" s="52"/>
      <c r="L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3"/>
      <c r="K871" s="52"/>
      <c r="L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3"/>
      <c r="K872" s="52"/>
      <c r="L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3"/>
      <c r="K873" s="52"/>
      <c r="L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3"/>
      <c r="K874" s="52"/>
      <c r="L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3"/>
      <c r="K875" s="52"/>
      <c r="L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3"/>
      <c r="K876" s="52"/>
      <c r="L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3"/>
      <c r="K877" s="52"/>
      <c r="L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3"/>
      <c r="K878" s="52"/>
      <c r="L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3"/>
      <c r="K879" s="52"/>
      <c r="L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3"/>
      <c r="K880" s="52"/>
      <c r="L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3"/>
      <c r="K881" s="52"/>
      <c r="L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3"/>
      <c r="K882" s="52"/>
      <c r="L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3"/>
      <c r="K883" s="52"/>
      <c r="L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3"/>
      <c r="K884" s="52"/>
      <c r="L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3"/>
      <c r="K885" s="52"/>
      <c r="L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3"/>
      <c r="K886" s="52"/>
      <c r="L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3"/>
      <c r="K887" s="52"/>
      <c r="L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3"/>
      <c r="K888" s="52"/>
      <c r="L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3"/>
      <c r="K889" s="52"/>
      <c r="L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3"/>
      <c r="K890" s="52"/>
      <c r="L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3"/>
      <c r="K891" s="52"/>
      <c r="L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3"/>
      <c r="K892" s="52"/>
      <c r="L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3"/>
      <c r="K893" s="52"/>
      <c r="L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3"/>
      <c r="K894" s="52"/>
      <c r="L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3"/>
      <c r="K895" s="52"/>
      <c r="L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3"/>
      <c r="K896" s="52"/>
      <c r="L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3"/>
      <c r="K897" s="52"/>
      <c r="L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3"/>
      <c r="K898" s="52"/>
      <c r="L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3"/>
      <c r="K899" s="52"/>
      <c r="L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3"/>
      <c r="K900" s="52"/>
      <c r="L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3"/>
      <c r="K901" s="52"/>
      <c r="L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3"/>
      <c r="K902" s="52"/>
      <c r="L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3"/>
      <c r="K903" s="52"/>
      <c r="L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3"/>
      <c r="K904" s="52"/>
      <c r="L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3"/>
      <c r="K905" s="52"/>
      <c r="L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3"/>
      <c r="K906" s="52"/>
      <c r="L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3"/>
      <c r="K907" s="52"/>
      <c r="L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3"/>
      <c r="K908" s="52"/>
      <c r="L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3"/>
      <c r="K909" s="52"/>
      <c r="L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3"/>
      <c r="K910" s="52"/>
      <c r="L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3"/>
      <c r="K911" s="52"/>
      <c r="L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3"/>
      <c r="K912" s="52"/>
      <c r="L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3"/>
      <c r="K913" s="52"/>
      <c r="L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3"/>
      <c r="K914" s="52"/>
      <c r="L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3"/>
      <c r="K915" s="52"/>
      <c r="L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3"/>
      <c r="K916" s="52"/>
      <c r="L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3"/>
      <c r="K917" s="52"/>
      <c r="L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3"/>
      <c r="K918" s="52"/>
      <c r="L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3"/>
      <c r="K919" s="52"/>
      <c r="L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3"/>
      <c r="K920" s="52"/>
      <c r="L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3"/>
      <c r="K921" s="52"/>
      <c r="L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3"/>
      <c r="K922" s="52"/>
      <c r="L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3"/>
      <c r="K923" s="52"/>
      <c r="L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3"/>
      <c r="K924" s="52"/>
      <c r="L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3"/>
      <c r="K925" s="52"/>
      <c r="L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3"/>
      <c r="K926" s="52"/>
      <c r="L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3"/>
      <c r="K927" s="52"/>
      <c r="L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3"/>
      <c r="K928" s="52"/>
      <c r="L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3"/>
      <c r="K929" s="52"/>
      <c r="L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3"/>
      <c r="K930" s="52"/>
      <c r="L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3"/>
      <c r="K931" s="52"/>
      <c r="L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3"/>
      <c r="K932" s="52"/>
      <c r="L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3"/>
      <c r="K933" s="52"/>
      <c r="L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3"/>
      <c r="K934" s="52"/>
      <c r="L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3"/>
      <c r="K935" s="52"/>
      <c r="L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3"/>
      <c r="K936" s="52"/>
      <c r="L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3"/>
      <c r="K937" s="52"/>
      <c r="L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3"/>
      <c r="K938" s="52"/>
      <c r="L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3"/>
      <c r="K939" s="52"/>
      <c r="L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3"/>
      <c r="K940" s="52"/>
      <c r="L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3"/>
      <c r="K941" s="52"/>
      <c r="L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3"/>
      <c r="K942" s="52"/>
      <c r="L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3"/>
      <c r="K943" s="52"/>
      <c r="L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3"/>
      <c r="K944" s="52"/>
      <c r="L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3"/>
      <c r="K945" s="52"/>
      <c r="L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3"/>
      <c r="K946" s="52"/>
      <c r="L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3"/>
      <c r="K947" s="52"/>
      <c r="L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3"/>
      <c r="K948" s="52"/>
      <c r="L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3"/>
      <c r="K949" s="52"/>
      <c r="L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3"/>
      <c r="K950" s="52"/>
      <c r="L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3"/>
      <c r="K951" s="52"/>
      <c r="L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3"/>
      <c r="K952" s="52"/>
      <c r="L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3"/>
      <c r="K953" s="52"/>
      <c r="L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3"/>
      <c r="K954" s="52"/>
      <c r="L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3"/>
      <c r="K955" s="52"/>
      <c r="L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3"/>
      <c r="K956" s="52"/>
      <c r="L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3"/>
      <c r="K957" s="52"/>
      <c r="L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3"/>
      <c r="K958" s="52"/>
      <c r="L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3"/>
      <c r="K959" s="52"/>
      <c r="L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3"/>
      <c r="K960" s="52"/>
      <c r="L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3"/>
      <c r="K961" s="52"/>
      <c r="L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3"/>
      <c r="K962" s="52"/>
      <c r="L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3"/>
      <c r="K963" s="52"/>
      <c r="L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3"/>
      <c r="K964" s="52"/>
      <c r="L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3"/>
      <c r="K965" s="52"/>
      <c r="L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3"/>
      <c r="K966" s="52"/>
      <c r="L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3"/>
      <c r="K967" s="52"/>
      <c r="L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3"/>
      <c r="K968" s="52"/>
      <c r="L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3"/>
      <c r="K969" s="52"/>
      <c r="L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3"/>
      <c r="K970" s="52"/>
      <c r="L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3"/>
      <c r="K971" s="52"/>
      <c r="L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3"/>
      <c r="K972" s="52"/>
      <c r="L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3"/>
      <c r="K973" s="52"/>
      <c r="L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3"/>
      <c r="K974" s="52"/>
      <c r="L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3"/>
      <c r="K975" s="52"/>
      <c r="L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3"/>
      <c r="K976" s="52"/>
      <c r="L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3"/>
      <c r="K977" s="52"/>
      <c r="L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3"/>
      <c r="K978" s="52"/>
      <c r="L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3"/>
      <c r="K979" s="52"/>
      <c r="L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3"/>
      <c r="K980" s="52"/>
      <c r="L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3"/>
      <c r="K981" s="52"/>
      <c r="L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3"/>
      <c r="K982" s="52"/>
      <c r="L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3"/>
      <c r="K983" s="52"/>
      <c r="L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3"/>
      <c r="K984" s="52"/>
      <c r="L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3"/>
      <c r="K985" s="52"/>
      <c r="L985" s="52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3"/>
      <c r="K986" s="52"/>
      <c r="L986" s="52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3"/>
      <c r="K987" s="52"/>
      <c r="L987" s="52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3"/>
      <c r="K988" s="52"/>
      <c r="L988" s="52"/>
    </row>
    <row r="989">
      <c r="A989" s="52"/>
      <c r="B989" s="52"/>
      <c r="C989" s="52"/>
      <c r="D989" s="52"/>
      <c r="E989" s="52"/>
      <c r="F989" s="52"/>
      <c r="G989" s="52"/>
      <c r="H989" s="52"/>
      <c r="I989" s="52"/>
      <c r="J989" s="53"/>
      <c r="K989" s="52"/>
      <c r="L989" s="52"/>
    </row>
    <row r="990">
      <c r="A990" s="52"/>
      <c r="B990" s="52"/>
      <c r="C990" s="52"/>
      <c r="D990" s="52"/>
      <c r="E990" s="52"/>
      <c r="F990" s="52"/>
      <c r="G990" s="52"/>
      <c r="H990" s="52"/>
      <c r="I990" s="52"/>
      <c r="J990" s="53"/>
      <c r="K990" s="52"/>
      <c r="L990" s="52"/>
    </row>
    <row r="991">
      <c r="A991" s="52"/>
      <c r="B991" s="52"/>
      <c r="C991" s="52"/>
      <c r="D991" s="52"/>
      <c r="E991" s="52"/>
      <c r="F991" s="52"/>
      <c r="G991" s="52"/>
      <c r="H991" s="52"/>
      <c r="I991" s="52"/>
      <c r="J991" s="53"/>
      <c r="K991" s="52"/>
      <c r="L991" s="52"/>
    </row>
    <row r="992">
      <c r="A992" s="52"/>
      <c r="B992" s="52"/>
      <c r="C992" s="52"/>
      <c r="D992" s="52"/>
      <c r="E992" s="52"/>
      <c r="F992" s="52"/>
      <c r="G992" s="52"/>
      <c r="H992" s="52"/>
      <c r="I992" s="52"/>
      <c r="J992" s="53"/>
      <c r="K992" s="52"/>
      <c r="L992" s="52"/>
    </row>
    <row r="993">
      <c r="A993" s="52"/>
      <c r="B993" s="52"/>
      <c r="C993" s="52"/>
      <c r="D993" s="52"/>
      <c r="E993" s="52"/>
      <c r="F993" s="52"/>
      <c r="G993" s="52"/>
      <c r="H993" s="52"/>
      <c r="I993" s="52"/>
      <c r="J993" s="53"/>
      <c r="K993" s="52"/>
      <c r="L993" s="52"/>
    </row>
    <row r="994">
      <c r="A994" s="52"/>
      <c r="B994" s="52"/>
      <c r="C994" s="52"/>
      <c r="D994" s="52"/>
      <c r="E994" s="52"/>
      <c r="F994" s="52"/>
      <c r="G994" s="52"/>
      <c r="H994" s="52"/>
      <c r="I994" s="52"/>
      <c r="J994" s="53"/>
      <c r="K994" s="52"/>
      <c r="L994" s="52"/>
    </row>
    <row r="995">
      <c r="A995" s="52"/>
      <c r="B995" s="52"/>
      <c r="C995" s="52"/>
      <c r="D995" s="52"/>
      <c r="E995" s="52"/>
      <c r="F995" s="52"/>
      <c r="G995" s="52"/>
      <c r="H995" s="52"/>
      <c r="I995" s="52"/>
      <c r="J995" s="53"/>
      <c r="K995" s="52"/>
      <c r="L995" s="52"/>
    </row>
    <row r="996">
      <c r="A996" s="52"/>
      <c r="B996" s="52"/>
      <c r="C996" s="52"/>
      <c r="D996" s="52"/>
      <c r="E996" s="52"/>
      <c r="F996" s="52"/>
      <c r="G996" s="52"/>
      <c r="H996" s="52"/>
      <c r="I996" s="52"/>
      <c r="J996" s="53"/>
      <c r="K996" s="52"/>
      <c r="L996" s="52"/>
    </row>
    <row r="997">
      <c r="A997" s="52"/>
      <c r="B997" s="52"/>
      <c r="C997" s="52"/>
      <c r="D997" s="52"/>
      <c r="E997" s="52"/>
      <c r="F997" s="52"/>
      <c r="G997" s="52"/>
      <c r="H997" s="52"/>
      <c r="I997" s="52"/>
      <c r="J997" s="53"/>
      <c r="K997" s="52"/>
      <c r="L997" s="52"/>
    </row>
    <row r="998">
      <c r="A998" s="52"/>
      <c r="B998" s="52"/>
      <c r="C998" s="52"/>
      <c r="D998" s="52"/>
      <c r="E998" s="52"/>
      <c r="F998" s="52"/>
      <c r="G998" s="52"/>
      <c r="H998" s="52"/>
      <c r="I998" s="52"/>
      <c r="J998" s="53"/>
      <c r="K998" s="52"/>
      <c r="L998" s="52"/>
    </row>
    <row r="999">
      <c r="A999" s="52"/>
      <c r="B999" s="52"/>
      <c r="C999" s="52"/>
      <c r="D999" s="52"/>
      <c r="E999" s="52"/>
      <c r="F999" s="52"/>
      <c r="G999" s="52"/>
      <c r="H999" s="52"/>
      <c r="I999" s="52"/>
      <c r="J999" s="53"/>
      <c r="K999" s="52"/>
      <c r="L999" s="52"/>
    </row>
    <row r="1000">
      <c r="A1000" s="52"/>
      <c r="B1000" s="52"/>
      <c r="C1000" s="52"/>
      <c r="D1000" s="52"/>
      <c r="E1000" s="52"/>
      <c r="F1000" s="52"/>
      <c r="G1000" s="52"/>
      <c r="H1000" s="52"/>
      <c r="I1000" s="52"/>
      <c r="J1000" s="53"/>
      <c r="K1000" s="52"/>
      <c r="L1000" s="52"/>
    </row>
    <row r="1001">
      <c r="A1001" s="52"/>
      <c r="B1001" s="52"/>
      <c r="C1001" s="52"/>
      <c r="D1001" s="52"/>
      <c r="E1001" s="52"/>
      <c r="F1001" s="52"/>
      <c r="G1001" s="52"/>
      <c r="H1001" s="52"/>
      <c r="I1001" s="52"/>
      <c r="J1001" s="53"/>
      <c r="K1001" s="52"/>
      <c r="L1001" s="52"/>
    </row>
    <row r="1002">
      <c r="A1002" s="52"/>
      <c r="B1002" s="52"/>
      <c r="C1002" s="52"/>
      <c r="D1002" s="52"/>
      <c r="E1002" s="52"/>
      <c r="F1002" s="52"/>
      <c r="G1002" s="52"/>
      <c r="H1002" s="52"/>
      <c r="I1002" s="52"/>
      <c r="J1002" s="53"/>
      <c r="K1002" s="52"/>
      <c r="L1002" s="52"/>
    </row>
    <row r="1003">
      <c r="A1003" s="52"/>
      <c r="B1003" s="52"/>
      <c r="C1003" s="52"/>
      <c r="D1003" s="52"/>
      <c r="E1003" s="52"/>
      <c r="F1003" s="52"/>
      <c r="G1003" s="52"/>
      <c r="H1003" s="52"/>
      <c r="I1003" s="52"/>
      <c r="J1003" s="53"/>
      <c r="K1003" s="52"/>
      <c r="L1003" s="52"/>
    </row>
    <row r="1004">
      <c r="A1004" s="52"/>
      <c r="B1004" s="52"/>
      <c r="C1004" s="52"/>
      <c r="D1004" s="52"/>
      <c r="E1004" s="52"/>
      <c r="F1004" s="52"/>
      <c r="G1004" s="52"/>
      <c r="H1004" s="52"/>
      <c r="I1004" s="52"/>
      <c r="J1004" s="53"/>
      <c r="K1004" s="52"/>
      <c r="L1004" s="52"/>
    </row>
    <row r="1005">
      <c r="A1005" s="52"/>
      <c r="B1005" s="52"/>
      <c r="C1005" s="52"/>
      <c r="D1005" s="52"/>
      <c r="E1005" s="52"/>
      <c r="F1005" s="52"/>
      <c r="G1005" s="52"/>
      <c r="H1005" s="52"/>
      <c r="I1005" s="52"/>
      <c r="J1005" s="53"/>
      <c r="K1005" s="52"/>
      <c r="L1005" s="52"/>
    </row>
    <row r="1006">
      <c r="A1006" s="52"/>
      <c r="B1006" s="52"/>
      <c r="C1006" s="52"/>
      <c r="D1006" s="52"/>
      <c r="E1006" s="52"/>
      <c r="F1006" s="52"/>
      <c r="G1006" s="52"/>
      <c r="H1006" s="52"/>
      <c r="I1006" s="52"/>
      <c r="J1006" s="53"/>
      <c r="K1006" s="52"/>
      <c r="L1006" s="52"/>
    </row>
    <row r="1007">
      <c r="A1007" s="52"/>
      <c r="B1007" s="52"/>
      <c r="C1007" s="52"/>
      <c r="D1007" s="52"/>
      <c r="E1007" s="52"/>
      <c r="F1007" s="52"/>
      <c r="G1007" s="52"/>
      <c r="H1007" s="52"/>
      <c r="I1007" s="52"/>
      <c r="J1007" s="53"/>
      <c r="K1007" s="52"/>
      <c r="L1007" s="52"/>
    </row>
  </sheetData>
  <mergeCells count="19">
    <mergeCell ref="A1:L1"/>
    <mergeCell ref="B2:C2"/>
    <mergeCell ref="E2:G2"/>
    <mergeCell ref="I2:J2"/>
    <mergeCell ref="B3:C3"/>
    <mergeCell ref="E3:G3"/>
    <mergeCell ref="I3:J3"/>
    <mergeCell ref="A5:C5"/>
    <mergeCell ref="A6:C6"/>
    <mergeCell ref="D6:F6"/>
    <mergeCell ref="G6:I6"/>
    <mergeCell ref="J6:L6"/>
    <mergeCell ref="A4:C4"/>
    <mergeCell ref="D4:F4"/>
    <mergeCell ref="G4:I4"/>
    <mergeCell ref="J4:L4"/>
    <mergeCell ref="D5:F5"/>
    <mergeCell ref="G5:I5"/>
    <mergeCell ref="J5:L5"/>
  </mergeCells>
  <dataValidations>
    <dataValidation type="list" allowBlank="1" sqref="I9:I18">
      <formula1>"Staging,Pre-Prod,QA,Production"</formula1>
    </dataValidation>
    <dataValidation type="list" allowBlank="1" sqref="K101:K1007">
      <formula1>"Pass,Fail,Blocked"</formula1>
    </dataValidation>
    <dataValidation type="list" allowBlank="1" sqref="K9:K18">
      <formula1>"Pass,Fail,Blocked,In Progress"</formula1>
    </dataValidation>
    <dataValidation type="list" allowBlank="1" sqref="I101:I1007">
      <formula1>"QA,Staging,Prod"</formula1>
    </dataValidation>
  </dataValidations>
  <drawing r:id="rId1"/>
  <tableParts count="1">
    <tablePart r:id="rId3"/>
  </tableParts>
</worksheet>
</file>